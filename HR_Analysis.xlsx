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idowu\Downloads\Sales.csv\"/>
    </mc:Choice>
  </mc:AlternateContent>
  <xr:revisionPtr revIDLastSave="0" documentId="13_ncr:2001_{CE9BCAA9-F7C8-47A4-9AEF-9903ADDF0D67}" xr6:coauthVersionLast="47" xr6:coauthVersionMax="47" xr10:uidLastSave="{00000000-0000-0000-0000-000000000000}"/>
  <bookViews>
    <workbookView xWindow="-120" yWindow="-120" windowWidth="20730" windowHeight="11160" xr2:uid="{00000000-000D-0000-FFFF-FFFF00000000}"/>
  </bookViews>
  <sheets>
    <sheet name="Raw_HR_Data" sheetId="1" r:id="rId1"/>
    <sheet name="cleaned_data" sheetId="4" r:id="rId2"/>
    <sheet name="Dim_salary" sheetId="5" r:id="rId3"/>
    <sheet name="pivot_table" sheetId="12" r:id="rId4"/>
    <sheet name="workforce" sheetId="13" r:id="rId5"/>
    <sheet name="performance" sheetId="14" r:id="rId6"/>
    <sheet name="Dim_Department" sheetId="7" r:id="rId7"/>
    <sheet name="Dim_Performance" sheetId="8" r:id="rId8"/>
    <sheet name="Summary_Template" sheetId="2" r:id="rId9"/>
  </sheets>
  <definedNames>
    <definedName name="_xlnm._FilterDatabase" localSheetId="0" hidden="1">Raw_HR_Data!$A$1:$N$1</definedName>
    <definedName name="_xlcn.WorksheetConnection_Project5_HR_Data_Analysis.xlsxCleaned_data" hidden="1">Cleaned_data[]</definedName>
    <definedName name="_xlcn.WorksheetConnection_Project5_HR_Data_Analysis.xlsxTable3" hidden="1">Table3[]</definedName>
    <definedName name="_xlcn.WorksheetConnection_Project5_HR_Data_Analysis.xlsxTable4" hidden="1">Table4[]</definedName>
    <definedName name="ExternalData_1" localSheetId="1" hidden="1">'cleaned_data'!$A$1:$R$201</definedName>
    <definedName name="Slicer_Age_Group">#N/A</definedName>
    <definedName name="Slicer_Attrition">#N/A</definedName>
    <definedName name="Slicer_Department">#N/A</definedName>
    <definedName name="Slicer_Employment_Status">#N/A</definedName>
    <definedName name="Slicer_Hire_year">#N/A</definedName>
    <definedName name="Slicer_Salary_bamd">#N/A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Project5_HR_Data_Analysis.xlsx!Table4"/>
          <x15:modelTable id="Table3" name="Table3" connection="WorksheetConnection_Project5_HR_Data_Analysis.xlsx!Table3"/>
          <x15:modelTable id="Cleaned_data" name="Cleaned_data" connection="WorksheetConnection_Project5_HR_Data_Analysis.xlsx!Cleaned_data"/>
        </x15:modelTables>
        <x15:modelRelationships>
          <x15:modelRelationship fromTable="Cleaned_data" fromColumn="Department" toTable="Table3" toColumn="DepartmentName"/>
          <x15:modelRelationship fromTable="Table4" fromColumn="Employee_ID" toTable="Table3" toColumn="DepartmentID"/>
        </x15:modelRelationships>
      </x15:dataModel>
    </ext>
  </extLst>
</workbook>
</file>

<file path=xl/calcChain.xml><?xml version="1.0" encoding="utf-8"?>
<calcChain xmlns="http://schemas.openxmlformats.org/spreadsheetml/2006/main">
  <c r="S2"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B10" i="2"/>
  <c r="B9" i="2"/>
  <c r="B8" i="2"/>
  <c r="B7" i="2"/>
  <c r="B6" i="2"/>
  <c r="B5" i="2"/>
  <c r="B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46129D-9483-432B-947D-EE5CB419100A}" keepAlive="1" name="Query - Raw_HR_Data" description="Connection to the 'Raw_HR_Data' query in the workbook." type="5" refreshedVersion="8" background="1" saveData="1">
    <dbPr connection="Provider=Microsoft.Mashup.OleDb.1;Data Source=$Workbook$;Location=Raw_HR_Data;Extended Properties=&quot;&quot;" command="SELECT * FROM [Raw_HR_Data]"/>
  </connection>
  <connection id="2" xr16:uid="{E600E805-527F-4940-8EF9-F2FA80CE2B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38227DD-ED5C-4D9D-B876-A1D17D57E410}" name="WorksheetConnection_Project5_HR_Data_Analysis.xlsx!Cleaned_data" type="102" refreshedVersion="8" minRefreshableVersion="5">
    <extLst>
      <ext xmlns:x15="http://schemas.microsoft.com/office/spreadsheetml/2010/11/main" uri="{DE250136-89BD-433C-8126-D09CA5730AF9}">
        <x15:connection id="Cleaned_data">
          <x15:rangePr sourceName="_xlcn.WorksheetConnection_Project5_HR_Data_Analysis.xlsxCleaned_data"/>
        </x15:connection>
      </ext>
    </extLst>
  </connection>
  <connection id="4" xr16:uid="{EEADD902-BB57-4A22-99B8-0FC8D4F2A7BB}" name="WorksheetConnection_Project5_HR_Data_Analysis.xlsx!Table3" type="102" refreshedVersion="8" minRefreshableVersion="5">
    <extLst>
      <ext xmlns:x15="http://schemas.microsoft.com/office/spreadsheetml/2010/11/main" uri="{DE250136-89BD-433C-8126-D09CA5730AF9}">
        <x15:connection id="Table3">
          <x15:rangePr sourceName="_xlcn.WorksheetConnection_Project5_HR_Data_Analysis.xlsxTable3"/>
        </x15:connection>
      </ext>
    </extLst>
  </connection>
  <connection id="5" xr16:uid="{5A9CDB0B-98B1-445A-BCF5-5E3DC001EF5C}" name="WorksheetConnection_Project5_HR_Data_Analysis.xlsx!Table4" type="102" refreshedVersion="8" minRefreshableVersion="5">
    <extLst>
      <ext xmlns:x15="http://schemas.microsoft.com/office/spreadsheetml/2010/11/main" uri="{DE250136-89BD-433C-8126-D09CA5730AF9}">
        <x15:connection id="Table4">
          <x15:rangePr sourceName="_xlcn.WorksheetConnection_Project5_HR_Data_Analysis.xlsxTable4"/>
        </x15:connection>
      </ext>
    </extLst>
  </connection>
</connections>
</file>

<file path=xl/sharedStrings.xml><?xml version="1.0" encoding="utf-8"?>
<sst xmlns="http://schemas.openxmlformats.org/spreadsheetml/2006/main" count="4850" uniqueCount="718">
  <si>
    <t>Employee_ID</t>
  </si>
  <si>
    <t>Full_Name</t>
  </si>
  <si>
    <t>Department</t>
  </si>
  <si>
    <t>Job_Title</t>
  </si>
  <si>
    <t>Gender</t>
  </si>
  <si>
    <t>Age</t>
  </si>
  <si>
    <t>Date_Hired</t>
  </si>
  <si>
    <t>Date_Left</t>
  </si>
  <si>
    <t>Employment_Status</t>
  </si>
  <si>
    <t>Salary_NGN</t>
  </si>
  <si>
    <t>Performance_Score</t>
  </si>
  <si>
    <t>Years_Experience</t>
  </si>
  <si>
    <t>Education_Level</t>
  </si>
  <si>
    <t>Attrition</t>
  </si>
  <si>
    <t>EMP-4001</t>
  </si>
  <si>
    <t>Jide Garba</t>
  </si>
  <si>
    <t>Marketing</t>
  </si>
  <si>
    <t>Director</t>
  </si>
  <si>
    <t>Male</t>
  </si>
  <si>
    <t>22-08-2020</t>
  </si>
  <si>
    <t>Active</t>
  </si>
  <si>
    <t>OND</t>
  </si>
  <si>
    <t>No</t>
  </si>
  <si>
    <t>EMP-4002</t>
  </si>
  <si>
    <t>Tayo Okonkwo</t>
  </si>
  <si>
    <t>Operations</t>
  </si>
  <si>
    <t>Analyst</t>
  </si>
  <si>
    <t>Female</t>
  </si>
  <si>
    <t>12-06-2023</t>
  </si>
  <si>
    <t>12-10-2026</t>
  </si>
  <si>
    <t>Terminated</t>
  </si>
  <si>
    <t>Yes</t>
  </si>
  <si>
    <t>EMP-4003</t>
  </si>
  <si>
    <t>Jide Musa</t>
  </si>
  <si>
    <t>16-06-2019</t>
  </si>
  <si>
    <t>09-11-2023</t>
  </si>
  <si>
    <t>MSc</t>
  </si>
  <si>
    <t>EMP-4004</t>
  </si>
  <si>
    <t>Emeka Mohammed</t>
  </si>
  <si>
    <t>HR</t>
  </si>
  <si>
    <t>Specialist</t>
  </si>
  <si>
    <t>08-08-2019</t>
  </si>
  <si>
    <t>HND</t>
  </si>
  <si>
    <t>EMP-4005</t>
  </si>
  <si>
    <t>Tayo Adeleke</t>
  </si>
  <si>
    <t>Legal</t>
  </si>
  <si>
    <t>26-08-2021</t>
  </si>
  <si>
    <t>BSc</t>
  </si>
  <si>
    <t>EMP-4006</t>
  </si>
  <si>
    <t>Amaka Musa</t>
  </si>
  <si>
    <t>Finance</t>
  </si>
  <si>
    <t>Executive</t>
  </si>
  <si>
    <t>09-06-2020</t>
  </si>
  <si>
    <t>01-02-2024</t>
  </si>
  <si>
    <t>EMP-4007</t>
  </si>
  <si>
    <t>Seun Okafor</t>
  </si>
  <si>
    <t>Woman</t>
  </si>
  <si>
    <t>29-07-2023</t>
  </si>
  <si>
    <t>17-04-2027</t>
  </si>
  <si>
    <t>Resigned</t>
  </si>
  <si>
    <t>EMP-4008</t>
  </si>
  <si>
    <t>Chidi Adeyemi</t>
  </si>
  <si>
    <t>02-09-2021</t>
  </si>
  <si>
    <t>EMP-4009</t>
  </si>
  <si>
    <t>Tobi Osei</t>
  </si>
  <si>
    <t>IT</t>
  </si>
  <si>
    <t>06-10-2022</t>
  </si>
  <si>
    <t>M.Sc</t>
  </si>
  <si>
    <t>EMP-4010</t>
  </si>
  <si>
    <t>Ngozi Nwosu</t>
  </si>
  <si>
    <t>13-01-2022</t>
  </si>
  <si>
    <t>PhD</t>
  </si>
  <si>
    <t>EMP-4011</t>
  </si>
  <si>
    <t>Yusuf Adeleke</t>
  </si>
  <si>
    <t>Senior Analyst</t>
  </si>
  <si>
    <t>11-09-2022</t>
  </si>
  <si>
    <t>18-01-2026</t>
  </si>
  <si>
    <t>EMP-4012</t>
  </si>
  <si>
    <t>Zainab Abiodun</t>
  </si>
  <si>
    <t>Admin</t>
  </si>
  <si>
    <t>Associate</t>
  </si>
  <si>
    <t>29-09-2023</t>
  </si>
  <si>
    <t>EMP-4013</t>
  </si>
  <si>
    <t>Emeka Eze</t>
  </si>
  <si>
    <t>18-03-2021</t>
  </si>
  <si>
    <t>EMP-4014</t>
  </si>
  <si>
    <t>Zainab Mohammed</t>
  </si>
  <si>
    <t>Manager</t>
  </si>
  <si>
    <t>male</t>
  </si>
  <si>
    <t>07-01-2021</t>
  </si>
  <si>
    <t>31-05-2025</t>
  </si>
  <si>
    <t>EMP-4015</t>
  </si>
  <si>
    <t>Chisom Adeleke</t>
  </si>
  <si>
    <t>16-06-2023</t>
  </si>
  <si>
    <t>EMP-4016</t>
  </si>
  <si>
    <t>Sade Suleiman</t>
  </si>
  <si>
    <t>Coordinator</t>
  </si>
  <si>
    <t>19-07-2021</t>
  </si>
  <si>
    <t>04-03-2026</t>
  </si>
  <si>
    <t>EMP-4017</t>
  </si>
  <si>
    <t>Yusuf Danjuma</t>
  </si>
  <si>
    <t>2023/05/20</t>
  </si>
  <si>
    <t>EMP-4018</t>
  </si>
  <si>
    <t>Tobi Mohammed</t>
  </si>
  <si>
    <t>04-01-2023</t>
  </si>
  <si>
    <t>MSC</t>
  </si>
  <si>
    <t>EMP-4019</t>
  </si>
  <si>
    <t>Emeka Musa</t>
  </si>
  <si>
    <t>13-06-2021</t>
  </si>
  <si>
    <t>09-02-2024</t>
  </si>
  <si>
    <t>EMP-4020</t>
  </si>
  <si>
    <t>Zainab Garba</t>
  </si>
  <si>
    <t>Sales</t>
  </si>
  <si>
    <t>23-10-2021</t>
  </si>
  <si>
    <t>EMP-4021</t>
  </si>
  <si>
    <t>Tobi Fashola</t>
  </si>
  <si>
    <t>12-09-2020</t>
  </si>
  <si>
    <t>EMP-4022</t>
  </si>
  <si>
    <t>Jide Okafor</t>
  </si>
  <si>
    <t>04-06-2021</t>
  </si>
  <si>
    <t>EMP-4023</t>
  </si>
  <si>
    <t>Olu Fashola</t>
  </si>
  <si>
    <t>02-03-2021</t>
  </si>
  <si>
    <t>EMP-4024</t>
  </si>
  <si>
    <t>Sade Okafor</t>
  </si>
  <si>
    <t>12-02-2019</t>
  </si>
  <si>
    <t>EMP-4025</t>
  </si>
  <si>
    <t>Halima Fashola</t>
  </si>
  <si>
    <t>02-12-2022</t>
  </si>
  <si>
    <t>03-05-2024</t>
  </si>
  <si>
    <t>EMP-4026</t>
  </si>
  <si>
    <t>Jide Balogun</t>
  </si>
  <si>
    <t>28-08-2021</t>
  </si>
  <si>
    <t>EMP-4027</t>
  </si>
  <si>
    <t>04-03-2019</t>
  </si>
  <si>
    <t>EMP-4028</t>
  </si>
  <si>
    <t>Yusuf Eze</t>
  </si>
  <si>
    <t>M</t>
  </si>
  <si>
    <t>07-01-2023</t>
  </si>
  <si>
    <t>06-07-2024</t>
  </si>
  <si>
    <t>EMP-4029</t>
  </si>
  <si>
    <t>Musa Mohammed</t>
  </si>
  <si>
    <t>18-05-2020</t>
  </si>
  <si>
    <t>EMP-4030</t>
  </si>
  <si>
    <t>Olu Ibrahim</t>
  </si>
  <si>
    <t>24-04-2020</t>
  </si>
  <si>
    <t>EMP-4031</t>
  </si>
  <si>
    <t>02-04-2019</t>
  </si>
  <si>
    <t>EMP-4032</t>
  </si>
  <si>
    <t>Chidi Danjuma</t>
  </si>
  <si>
    <t>18-05-2022</t>
  </si>
  <si>
    <t>EMP-4033</t>
  </si>
  <si>
    <t>18-04-2021</t>
  </si>
  <si>
    <t>EMP-4034</t>
  </si>
  <si>
    <t>Ada Musa</t>
  </si>
  <si>
    <t>2021/05/16</t>
  </si>
  <si>
    <t>2024/12/02</t>
  </si>
  <si>
    <t>EMP-4035</t>
  </si>
  <si>
    <t>Olu Osei</t>
  </si>
  <si>
    <t>MALE</t>
  </si>
  <si>
    <t>24-08-2019</t>
  </si>
  <si>
    <t>15-03-2022</t>
  </si>
  <si>
    <t>EMP-4036</t>
  </si>
  <si>
    <t>Blessing Nwosu</t>
  </si>
  <si>
    <t>10-09-2022</t>
  </si>
  <si>
    <t>25-05-2027</t>
  </si>
  <si>
    <t>Bsc</t>
  </si>
  <si>
    <t>EMP-4037</t>
  </si>
  <si>
    <t>11-09-2019</t>
  </si>
  <si>
    <t>14-10-2020</t>
  </si>
  <si>
    <t>EMP-4038</t>
  </si>
  <si>
    <t>Remi Nwosu</t>
  </si>
  <si>
    <t>29-08-2019</t>
  </si>
  <si>
    <t>EMP-4039</t>
  </si>
  <si>
    <t>25-12-2022</t>
  </si>
  <si>
    <t>EMP-4040</t>
  </si>
  <si>
    <t>Femi Suleiman</t>
  </si>
  <si>
    <t>19-03-2019</t>
  </si>
  <si>
    <t>27-11-2021</t>
  </si>
  <si>
    <t>EMP-4041</t>
  </si>
  <si>
    <t>Ada Balogun</t>
  </si>
  <si>
    <t>18-05-2019</t>
  </si>
  <si>
    <t>EMP-4042</t>
  </si>
  <si>
    <t>Femi Okafor</t>
  </si>
  <si>
    <t>19-04-2021</t>
  </si>
  <si>
    <t>26-01-2024</t>
  </si>
  <si>
    <t>EMP-4043</t>
  </si>
  <si>
    <t>Remi Okafor</t>
  </si>
  <si>
    <t>14-07-2019</t>
  </si>
  <si>
    <t>EMP-4044</t>
  </si>
  <si>
    <t>Zainab Danjuma</t>
  </si>
  <si>
    <t>17-09-2020</t>
  </si>
  <si>
    <t>08-10-2022</t>
  </si>
  <si>
    <t>EMP-4045</t>
  </si>
  <si>
    <t>Ngozi Musa</t>
  </si>
  <si>
    <t>25-12-2023</t>
  </si>
  <si>
    <t>28-09-2028</t>
  </si>
  <si>
    <t>EMP-4046</t>
  </si>
  <si>
    <t>Tobi Adeyemi</t>
  </si>
  <si>
    <t>03-06-2021</t>
  </si>
  <si>
    <t>04-03-2024</t>
  </si>
  <si>
    <t>EMP-4047</t>
  </si>
  <si>
    <t>Musa Adeyemi</t>
  </si>
  <si>
    <t>15-03-2021</t>
  </si>
  <si>
    <t>EMP-4048</t>
  </si>
  <si>
    <t>19-01-2019</t>
  </si>
  <si>
    <t>EMP-4049</t>
  </si>
  <si>
    <t>Zainab Eze</t>
  </si>
  <si>
    <t>15-08-2021</t>
  </si>
  <si>
    <t>EMP-4050</t>
  </si>
  <si>
    <t>Ada Adeleke</t>
  </si>
  <si>
    <t>18-02-2021</t>
  </si>
  <si>
    <t>04-09-2022</t>
  </si>
  <si>
    <t>EMP-4051</t>
  </si>
  <si>
    <t>Chisom Danjuma</t>
  </si>
  <si>
    <t>2021/04/02</t>
  </si>
  <si>
    <t>EMP-4052</t>
  </si>
  <si>
    <t>Remi Suleiman</t>
  </si>
  <si>
    <t>26-11-2021</t>
  </si>
  <si>
    <t>14-01-2025</t>
  </si>
  <si>
    <t>EMP-4053</t>
  </si>
  <si>
    <t>Chidi Adeleke</t>
  </si>
  <si>
    <t>18-01-2021</t>
  </si>
  <si>
    <t>EMP-4054</t>
  </si>
  <si>
    <t>Sade Adeyemi</t>
  </si>
  <si>
    <t>24-12-2020</t>
  </si>
  <si>
    <t>EMP-4055</t>
  </si>
  <si>
    <t>Zainab Ibrahim</t>
  </si>
  <si>
    <t>13-09-2023</t>
  </si>
  <si>
    <t>EMP-4056</t>
  </si>
  <si>
    <t>Yusuf Abiodun</t>
  </si>
  <si>
    <t>11-11-2021</t>
  </si>
  <si>
    <t>EMP-4057</t>
  </si>
  <si>
    <t>EMP-4058</t>
  </si>
  <si>
    <t>Amaka Suleiman</t>
  </si>
  <si>
    <t>01-11-2022</t>
  </si>
  <si>
    <t>17-08-2026</t>
  </si>
  <si>
    <t>EMP-4059</t>
  </si>
  <si>
    <t>Blessing Eze</t>
  </si>
  <si>
    <t>14-09-2022</t>
  </si>
  <si>
    <t>EMP-4060</t>
  </si>
  <si>
    <t>04-08-2022</t>
  </si>
  <si>
    <t>EMP-4061</t>
  </si>
  <si>
    <t>Yusuf Nwosu</t>
  </si>
  <si>
    <t>19-02-2021</t>
  </si>
  <si>
    <t>EMP-4062</t>
  </si>
  <si>
    <t>Tobi Musa</t>
  </si>
  <si>
    <t>04-05-2022</t>
  </si>
  <si>
    <t>EMP-4063</t>
  </si>
  <si>
    <t>Tayo Osei</t>
  </si>
  <si>
    <t>24-03-2022</t>
  </si>
  <si>
    <t>EMP-4064</t>
  </si>
  <si>
    <t>Emeka Okonkwo</t>
  </si>
  <si>
    <t>03-05-2022</t>
  </si>
  <si>
    <t>EMP-4065</t>
  </si>
  <si>
    <t>Tobi Okonkwo</t>
  </si>
  <si>
    <t>17-04-2020</t>
  </si>
  <si>
    <t>28-05-2023</t>
  </si>
  <si>
    <t>EMP-4066</t>
  </si>
  <si>
    <t>Seun Abiodun</t>
  </si>
  <si>
    <t>29-01-2019</t>
  </si>
  <si>
    <t>EMP-4067</t>
  </si>
  <si>
    <t>Jide Fashola</t>
  </si>
  <si>
    <t>25-04-2019</t>
  </si>
  <si>
    <t>EMP-4068</t>
  </si>
  <si>
    <t>Blessing Adeleke</t>
  </si>
  <si>
    <t>2021/07/22</t>
  </si>
  <si>
    <t>EMP-4069</t>
  </si>
  <si>
    <t>Sade Nwosu</t>
  </si>
  <si>
    <t>11-09-2023</t>
  </si>
  <si>
    <t>06-05-2026</t>
  </si>
  <si>
    <t>EMP-4070</t>
  </si>
  <si>
    <t>22-06-2019</t>
  </si>
  <si>
    <t>05-06-2024</t>
  </si>
  <si>
    <t>EMP-4071</t>
  </si>
  <si>
    <t>Emeka Ibrahim</t>
  </si>
  <si>
    <t>06-05-2019</t>
  </si>
  <si>
    <t>EMP-4072</t>
  </si>
  <si>
    <t>Olu Suleiman</t>
  </si>
  <si>
    <t>16-04-2022</t>
  </si>
  <si>
    <t>23-05-2024</t>
  </si>
  <si>
    <t>EMP-4073</t>
  </si>
  <si>
    <t>13-04-2021</t>
  </si>
  <si>
    <t>13-08-2022</t>
  </si>
  <si>
    <t>EMP-4074</t>
  </si>
  <si>
    <t>Chidi Okafor</t>
  </si>
  <si>
    <t>25-07-2021</t>
  </si>
  <si>
    <t>EMP-4075</t>
  </si>
  <si>
    <t>07-04-2020</t>
  </si>
  <si>
    <t>28-11-2020</t>
  </si>
  <si>
    <t>EMP-4076</t>
  </si>
  <si>
    <t>Emeka Adeyemi</t>
  </si>
  <si>
    <t>09-05-2020</t>
  </si>
  <si>
    <t>EMP-4077</t>
  </si>
  <si>
    <t>Musa Nwosu</t>
  </si>
  <si>
    <t>27-03-2023</t>
  </si>
  <si>
    <t>EMP-4078</t>
  </si>
  <si>
    <t>Jide Eze</t>
  </si>
  <si>
    <t>02-09-2022</t>
  </si>
  <si>
    <t>10-06-2025</t>
  </si>
  <si>
    <t>EMP-4079</t>
  </si>
  <si>
    <t>Sade Okonkwo</t>
  </si>
  <si>
    <t>07-03-2019</t>
  </si>
  <si>
    <t>07-06-2020</t>
  </si>
  <si>
    <t>EMP-4080</t>
  </si>
  <si>
    <t>Ngozi Okonkwo</t>
  </si>
  <si>
    <t>13-06-2020</t>
  </si>
  <si>
    <t>26-06-2023</t>
  </si>
  <si>
    <t>Chisom Balogun</t>
  </si>
  <si>
    <t>19-12-2023</t>
  </si>
  <si>
    <t>B.Sc</t>
  </si>
  <si>
    <t>EMP-4082</t>
  </si>
  <si>
    <t>Chidi Osei</t>
  </si>
  <si>
    <t>01-02-2021</t>
  </si>
  <si>
    <t>14-12-2024</t>
  </si>
  <si>
    <t>EMP-4083</t>
  </si>
  <si>
    <t>21-07-2021</t>
  </si>
  <si>
    <t>EMP-4084</t>
  </si>
  <si>
    <t>Jide Abiodun</t>
  </si>
  <si>
    <t>female</t>
  </si>
  <si>
    <t>28-06-2020</t>
  </si>
  <si>
    <t>EMP-4085</t>
  </si>
  <si>
    <t>Chisom Nwosu</t>
  </si>
  <si>
    <t>2022/06/30</t>
  </si>
  <si>
    <t>EMP-4086</t>
  </si>
  <si>
    <t>Ada Okonkwo</t>
  </si>
  <si>
    <t>06-11-2021</t>
  </si>
  <si>
    <t>EMP-4087</t>
  </si>
  <si>
    <t>Zainab Nwosu</t>
  </si>
  <si>
    <t>24-12-2019</t>
  </si>
  <si>
    <t>23-02-2021</t>
  </si>
  <si>
    <t>EMP-4088</t>
  </si>
  <si>
    <t>Ada Nwosu</t>
  </si>
  <si>
    <t>30-12-2022</t>
  </si>
  <si>
    <t>14-03-2025</t>
  </si>
  <si>
    <t>EMP-4089</t>
  </si>
  <si>
    <t>Ngozi Ibrahim</t>
  </si>
  <si>
    <t>08-01-2021</t>
  </si>
  <si>
    <t>06-06-2025</t>
  </si>
  <si>
    <t>EMP-4090</t>
  </si>
  <si>
    <t>Sade Abiodun</t>
  </si>
  <si>
    <t>28-11-2021</t>
  </si>
  <si>
    <t>hnd</t>
  </si>
  <si>
    <t>EMP-4091</t>
  </si>
  <si>
    <t>Chidi Okonkwo</t>
  </si>
  <si>
    <t>EMP-4092</t>
  </si>
  <si>
    <t>Blessing Osei</t>
  </si>
  <si>
    <t>17-04-2023</t>
  </si>
  <si>
    <t>EMP-4093</t>
  </si>
  <si>
    <t>27-07-2020</t>
  </si>
  <si>
    <t>EMP-4094</t>
  </si>
  <si>
    <t>Musa Adeleke</t>
  </si>
  <si>
    <t>30-08-2021</t>
  </si>
  <si>
    <t>EMP-4095</t>
  </si>
  <si>
    <t>Nkechi Okonkwo</t>
  </si>
  <si>
    <t>07-05-2019</t>
  </si>
  <si>
    <t>EMP-4096</t>
  </si>
  <si>
    <t>Olu Adeyemi</t>
  </si>
  <si>
    <t>14-10-2022</t>
  </si>
  <si>
    <t>07-02-2025</t>
  </si>
  <si>
    <t>EMP-4097</t>
  </si>
  <si>
    <t>Blessing Suleiman</t>
  </si>
  <si>
    <t>01-06-2022</t>
  </si>
  <si>
    <t>EMP-4098</t>
  </si>
  <si>
    <t>Blessing Mohammed</t>
  </si>
  <si>
    <t>06-03-2024</t>
  </si>
  <si>
    <t>EMP-4099</t>
  </si>
  <si>
    <t>02-01-2021</t>
  </si>
  <si>
    <t>EMP-4100</t>
  </si>
  <si>
    <t>Tayo Nwosu</t>
  </si>
  <si>
    <t>EMP-4101</t>
  </si>
  <si>
    <t>Olu Adeleke</t>
  </si>
  <si>
    <t>11-03-2019</t>
  </si>
  <si>
    <t>EMP-4102</t>
  </si>
  <si>
    <t>Chisom Mohammed</t>
  </si>
  <si>
    <t>2022/11/07</t>
  </si>
  <si>
    <t>EMP-4103</t>
  </si>
  <si>
    <t>Nkechi Abiodun</t>
  </si>
  <si>
    <t>19-11-2021</t>
  </si>
  <si>
    <t>EMP-4104</t>
  </si>
  <si>
    <t>30-08-2020</t>
  </si>
  <si>
    <t>EMP-4105</t>
  </si>
  <si>
    <t>Ada Okafor</t>
  </si>
  <si>
    <t>FEMALE</t>
  </si>
  <si>
    <t>06-08-2023</t>
  </si>
  <si>
    <t>EMP-4106</t>
  </si>
  <si>
    <t>Halima Okonkwo</t>
  </si>
  <si>
    <t>20-11-2021</t>
  </si>
  <si>
    <t>EMP-4107</t>
  </si>
  <si>
    <t>21-07-2019</t>
  </si>
  <si>
    <t>03-03-2024</t>
  </si>
  <si>
    <t>EMP-4108</t>
  </si>
  <si>
    <t>Tobi Adeleke</t>
  </si>
  <si>
    <t>24-07-2019</t>
  </si>
  <si>
    <t>EMP-4109</t>
  </si>
  <si>
    <t>Chidi Ibrahim</t>
  </si>
  <si>
    <t>28-10-2019</t>
  </si>
  <si>
    <t>EMP-4110</t>
  </si>
  <si>
    <t>Tayo Eze</t>
  </si>
  <si>
    <t>04-03-2020</t>
  </si>
  <si>
    <t>EMP-4111</t>
  </si>
  <si>
    <t>Chisom Okonkwo</t>
  </si>
  <si>
    <t>15-12-2022</t>
  </si>
  <si>
    <t>EMP-4112</t>
  </si>
  <si>
    <t>Seun Mohammed</t>
  </si>
  <si>
    <t>23-01-2022</t>
  </si>
  <si>
    <t>29-03-2025</t>
  </si>
  <si>
    <t>EMP-4113</t>
  </si>
  <si>
    <t>06-07-2021</t>
  </si>
  <si>
    <t>EMP-4114</t>
  </si>
  <si>
    <t>03-04-2020</t>
  </si>
  <si>
    <t>15-02-2023</t>
  </si>
  <si>
    <t>EMP-4115</t>
  </si>
  <si>
    <t>EMP-4116</t>
  </si>
  <si>
    <t>Tayo Fashola</t>
  </si>
  <si>
    <t>18-12-2021</t>
  </si>
  <si>
    <t>19-11-2025</t>
  </si>
  <si>
    <t>EMP-4117</t>
  </si>
  <si>
    <t>23-12-2023</t>
  </si>
  <si>
    <t>19-10-2028</t>
  </si>
  <si>
    <t>EMP-4118</t>
  </si>
  <si>
    <t>04-12-2019</t>
  </si>
  <si>
    <t>EMP-4119</t>
  </si>
  <si>
    <t>Tobi Ibrahim</t>
  </si>
  <si>
    <t>2023/11/08</t>
  </si>
  <si>
    <t>EMP-4120</t>
  </si>
  <si>
    <t>Blessing Garba</t>
  </si>
  <si>
    <t>07-09-2019</t>
  </si>
  <si>
    <t>EMP-4121</t>
  </si>
  <si>
    <t>Tayo Musa</t>
  </si>
  <si>
    <t>07-07-2023</t>
  </si>
  <si>
    <t>19-08-2026</t>
  </si>
  <si>
    <t>EMP-4122</t>
  </si>
  <si>
    <t>Ngozi Balogun</t>
  </si>
  <si>
    <t>12-07-2023</t>
  </si>
  <si>
    <t>EMP-4123</t>
  </si>
  <si>
    <t>Amaka Garba</t>
  </si>
  <si>
    <t>28-02-2020</t>
  </si>
  <si>
    <t>EMP-4124</t>
  </si>
  <si>
    <t>Nkechi Mohammed</t>
  </si>
  <si>
    <t>12-01-2021</t>
  </si>
  <si>
    <t>EMP-4125</t>
  </si>
  <si>
    <t>Amaka Abiodun</t>
  </si>
  <si>
    <t>19-01-2022</t>
  </si>
  <si>
    <t>17-08-2025</t>
  </si>
  <si>
    <t>EMP-4126</t>
  </si>
  <si>
    <t>16-08-2021</t>
  </si>
  <si>
    <t>msc</t>
  </si>
  <si>
    <t>EMP-4127</t>
  </si>
  <si>
    <t>Ada Danjuma</t>
  </si>
  <si>
    <t>15-02-2022</t>
  </si>
  <si>
    <t>EMP-4128</t>
  </si>
  <si>
    <t>Emeka Nwosu</t>
  </si>
  <si>
    <t>21-04-2023</t>
  </si>
  <si>
    <t>17-09-2024</t>
  </si>
  <si>
    <t>EMP-4129</t>
  </si>
  <si>
    <t>Seun Ibrahim</t>
  </si>
  <si>
    <t>24-03-2021</t>
  </si>
  <si>
    <t>EMP-4130</t>
  </si>
  <si>
    <t>04-11-2023</t>
  </si>
  <si>
    <t>EMP-4131</t>
  </si>
  <si>
    <t>Emeka Danjuma</t>
  </si>
  <si>
    <t>23-09-2020</t>
  </si>
  <si>
    <t>08-01-2023</t>
  </si>
  <si>
    <t>EMP-4132</t>
  </si>
  <si>
    <t>Ngozi Suleiman</t>
  </si>
  <si>
    <t>04-02-2020</t>
  </si>
  <si>
    <t>EMP-4133</t>
  </si>
  <si>
    <t>Jide Ibrahim</t>
  </si>
  <si>
    <t>27-09-2023</t>
  </si>
  <si>
    <t>EMP-4134</t>
  </si>
  <si>
    <t>Femi Balogun</t>
  </si>
  <si>
    <t>24-09-2023</t>
  </si>
  <si>
    <t>EMP-4135</t>
  </si>
  <si>
    <t>Blessing Musa</t>
  </si>
  <si>
    <t>23-06-2020</t>
  </si>
  <si>
    <t>EMP-4136</t>
  </si>
  <si>
    <t>Jide Suleiman</t>
  </si>
  <si>
    <t>2021/02/12</t>
  </si>
  <si>
    <t>2024/01/16</t>
  </si>
  <si>
    <t>EMP-4137</t>
  </si>
  <si>
    <t>19-06-2023</t>
  </si>
  <si>
    <t>05-02-2027</t>
  </si>
  <si>
    <t>EMP-4138</t>
  </si>
  <si>
    <t>Tobi Eze</t>
  </si>
  <si>
    <t>17-01-2019</t>
  </si>
  <si>
    <t>EMP-4139</t>
  </si>
  <si>
    <t>Nkechi Nwosu</t>
  </si>
  <si>
    <t>26-11-2022</t>
  </si>
  <si>
    <t>EMP-4140</t>
  </si>
  <si>
    <t>Chidi Musa</t>
  </si>
  <si>
    <t>14-06-2022</t>
  </si>
  <si>
    <t>EMP-4141</t>
  </si>
  <si>
    <t>Ada Garba</t>
  </si>
  <si>
    <t>11-08-2022</t>
  </si>
  <si>
    <t>EMP-4142</t>
  </si>
  <si>
    <t>18-07-2023</t>
  </si>
  <si>
    <t>18-11-2025</t>
  </si>
  <si>
    <t>EMP-4143</t>
  </si>
  <si>
    <t>Seun Balogun</t>
  </si>
  <si>
    <t>22-10-2019</t>
  </si>
  <si>
    <t>13-07-2020</t>
  </si>
  <si>
    <t>EMP-4144</t>
  </si>
  <si>
    <t>09-09-2021</t>
  </si>
  <si>
    <t>EMP-4145</t>
  </si>
  <si>
    <t>07-06-2021</t>
  </si>
  <si>
    <t>EMP-4146</t>
  </si>
  <si>
    <t>26-05-2022</t>
  </si>
  <si>
    <t>15-09-2026</t>
  </si>
  <si>
    <t>EMP-4147</t>
  </si>
  <si>
    <t>31-12-2019</t>
  </si>
  <si>
    <t>21-10-2024</t>
  </si>
  <si>
    <t>EMP-4148</t>
  </si>
  <si>
    <t>01-06-2019</t>
  </si>
  <si>
    <t>08-05-2023</t>
  </si>
  <si>
    <t>EMP-4149</t>
  </si>
  <si>
    <t>Yusuf Okonkwo</t>
  </si>
  <si>
    <t>28-05-2021</t>
  </si>
  <si>
    <t>06-07-2022</t>
  </si>
  <si>
    <t>EMP-4150</t>
  </si>
  <si>
    <t>Remi Fashola</t>
  </si>
  <si>
    <t>21-12-2019</t>
  </si>
  <si>
    <t>14-04-2022</t>
  </si>
  <si>
    <t>EMP-4151</t>
  </si>
  <si>
    <t>Emeka Adeleke</t>
  </si>
  <si>
    <t>18-06-2022</t>
  </si>
  <si>
    <t>EMP-4152</t>
  </si>
  <si>
    <t>15-07-2019</t>
  </si>
  <si>
    <t>EMP-4153</t>
  </si>
  <si>
    <t>2021/08/12</t>
  </si>
  <si>
    <t>bsc</t>
  </si>
  <si>
    <t>EMP-4154</t>
  </si>
  <si>
    <t>05-02-2023</t>
  </si>
  <si>
    <t>07-02-2027</t>
  </si>
  <si>
    <t>EMP-4155</t>
  </si>
  <si>
    <t>EMP-4156</t>
  </si>
  <si>
    <t>16-01-2019</t>
  </si>
  <si>
    <t>02-09-2019</t>
  </si>
  <si>
    <t>EMP-4157</t>
  </si>
  <si>
    <t>07-02-2023</t>
  </si>
  <si>
    <t>29-09-2025</t>
  </si>
  <si>
    <t>EMP-4158</t>
  </si>
  <si>
    <t>Olu Danjuma</t>
  </si>
  <si>
    <t>05-11-2019</t>
  </si>
  <si>
    <t>04-12-2020</t>
  </si>
  <si>
    <t>EMP-4159</t>
  </si>
  <si>
    <t>Seun Garba</t>
  </si>
  <si>
    <t>12-03-2019</t>
  </si>
  <si>
    <t>EMP-4160</t>
  </si>
  <si>
    <t>26-10-2021</t>
  </si>
  <si>
    <t>EMP-4161</t>
  </si>
  <si>
    <t>29-12-2022</t>
  </si>
  <si>
    <t>05-10-2026</t>
  </si>
  <si>
    <t>EMP-4162</t>
  </si>
  <si>
    <t>Sade Adeleke</t>
  </si>
  <si>
    <t>16-05-2022</t>
  </si>
  <si>
    <t>20-03-2027</t>
  </si>
  <si>
    <t>EMP-4163</t>
  </si>
  <si>
    <t>Chisom Adeyemi</t>
  </si>
  <si>
    <t>15-09-2021</t>
  </si>
  <si>
    <t>08-05-2025</t>
  </si>
  <si>
    <t>EMP-4164</t>
  </si>
  <si>
    <t>EMP-4165</t>
  </si>
  <si>
    <t>Ada Osei</t>
  </si>
  <si>
    <t>20-03-2019</t>
  </si>
  <si>
    <t>EMP-4166</t>
  </si>
  <si>
    <t>14-02-2021</t>
  </si>
  <si>
    <t>EMP-4167</t>
  </si>
  <si>
    <t>24-05-2021</t>
  </si>
  <si>
    <t>EMP-4168</t>
  </si>
  <si>
    <t>Chisom Eze</t>
  </si>
  <si>
    <t>12-02-2020</t>
  </si>
  <si>
    <t>EMP-4169</t>
  </si>
  <si>
    <t>06-04-2021</t>
  </si>
  <si>
    <t>EMP-4170</t>
  </si>
  <si>
    <t>Remi Musa</t>
  </si>
  <si>
    <t>2022/07/25</t>
  </si>
  <si>
    <t>EMP-4171</t>
  </si>
  <si>
    <t>Seun Osei</t>
  </si>
  <si>
    <t>10-08-2021</t>
  </si>
  <si>
    <t>EMP-4172</t>
  </si>
  <si>
    <t>Chisom Ibrahim</t>
  </si>
  <si>
    <t>21-07-2022</t>
  </si>
  <si>
    <t>EMP-4173</t>
  </si>
  <si>
    <t>Ngozi Adeyemi</t>
  </si>
  <si>
    <t>21-03-2023</t>
  </si>
  <si>
    <t>EMP-4174</t>
  </si>
  <si>
    <t>07-07-2020</t>
  </si>
  <si>
    <t>01-07-2025</t>
  </si>
  <si>
    <t>EMP-4175</t>
  </si>
  <si>
    <t>F</t>
  </si>
  <si>
    <t>03-09-2020</t>
  </si>
  <si>
    <t>16-03-2022</t>
  </si>
  <si>
    <t>EMP-4176</t>
  </si>
  <si>
    <t>07-02-2021</t>
  </si>
  <si>
    <t>14-05-2022</t>
  </si>
  <si>
    <t>EMP-4177</t>
  </si>
  <si>
    <t>Emeka Suleiman</t>
  </si>
  <si>
    <t>27-11-2023</t>
  </si>
  <si>
    <t>EMP-4178</t>
  </si>
  <si>
    <t>08-04-2022</t>
  </si>
  <si>
    <t>EMP-4179</t>
  </si>
  <si>
    <t>18-09-2020</t>
  </si>
  <si>
    <t>22-07-2021</t>
  </si>
  <si>
    <t>EMP-4180</t>
  </si>
  <si>
    <t>Femi Musa</t>
  </si>
  <si>
    <t>05-08-2019</t>
  </si>
  <si>
    <t>EMP-4181</t>
  </si>
  <si>
    <t>Femi Danjuma</t>
  </si>
  <si>
    <t>01-10-2020</t>
  </si>
  <si>
    <t>06-03-2022</t>
  </si>
  <si>
    <t>EMP-4182</t>
  </si>
  <si>
    <t>15-08-2020</t>
  </si>
  <si>
    <t>06-05-2023</t>
  </si>
  <si>
    <t>EMP-4183</t>
  </si>
  <si>
    <t>Olu Musa</t>
  </si>
  <si>
    <t>03-03-2022</t>
  </si>
  <si>
    <t>20-06-2025</t>
  </si>
  <si>
    <t>EMP-4184</t>
  </si>
  <si>
    <t>Ngozi Fashola</t>
  </si>
  <si>
    <t>07-10-2019</t>
  </si>
  <si>
    <t>29-06-2021</t>
  </si>
  <si>
    <t>EMP-4185</t>
  </si>
  <si>
    <t>Nkechi Adeyemi</t>
  </si>
  <si>
    <t>02-05-2021</t>
  </si>
  <si>
    <t>19-12-2024</t>
  </si>
  <si>
    <t>EMP-4186</t>
  </si>
  <si>
    <t>07-04-2021</t>
  </si>
  <si>
    <t>EMP-4187</t>
  </si>
  <si>
    <t>Halima Adeyemi</t>
  </si>
  <si>
    <t>2021/08/23</t>
  </si>
  <si>
    <t>EMP-4188</t>
  </si>
  <si>
    <t>30-07-2020</t>
  </si>
  <si>
    <t>EMP-4189</t>
  </si>
  <si>
    <t>Halima Osei</t>
  </si>
  <si>
    <t>Man</t>
  </si>
  <si>
    <t>19-02-2022</t>
  </si>
  <si>
    <t>EMP-4190</t>
  </si>
  <si>
    <t>12-12-2019</t>
  </si>
  <si>
    <t>EMP-4191</t>
  </si>
  <si>
    <t>18-09-2023</t>
  </si>
  <si>
    <t>EMP-4192</t>
  </si>
  <si>
    <t>EMP-4193</t>
  </si>
  <si>
    <t>31-05-2021</t>
  </si>
  <si>
    <t>EMP-4194</t>
  </si>
  <si>
    <t>27-02-2023</t>
  </si>
  <si>
    <t>EMP-4195</t>
  </si>
  <si>
    <t>25-07-2019</t>
  </si>
  <si>
    <t>EMP-4196</t>
  </si>
  <si>
    <t>Blessing Abiodun</t>
  </si>
  <si>
    <t>26-03-2022</t>
  </si>
  <si>
    <t>EMP-4197</t>
  </si>
  <si>
    <t>Musa Osei</t>
  </si>
  <si>
    <t>16-01-2021</t>
  </si>
  <si>
    <t>28-10-2022</t>
  </si>
  <si>
    <t>EMP-4198</t>
  </si>
  <si>
    <t>23-03-2020</t>
  </si>
  <si>
    <t>12-10-2023</t>
  </si>
  <si>
    <t>EMP-4199</t>
  </si>
  <si>
    <t>27-04-2020</t>
  </si>
  <si>
    <t>18-08-2023</t>
  </si>
  <si>
    <t>EMP-4200</t>
  </si>
  <si>
    <t>08-03-2023</t>
  </si>
  <si>
    <t>09-01-2025</t>
  </si>
  <si>
    <t>Yellow cells = dirty data (for cleaning practice)</t>
  </si>
  <si>
    <t>Issues: duplicate Employee IDs, inconsistent gender (M/male/MALE), inconsistent education (BSc/bsc/B.Sc), missing salaries, invalid performance scores (0 or 10), negative years experience, mixed date formats, blank attrition</t>
  </si>
  <si>
    <t>HR DATA ANALYSIS — SUMMARY</t>
  </si>
  <si>
    <t>Metric</t>
  </si>
  <si>
    <t>Value / Formula</t>
  </si>
  <si>
    <t>Total Employees</t>
  </si>
  <si>
    <t>Active Employees</t>
  </si>
  <si>
    <t>Attrition Count</t>
  </si>
  <si>
    <t>Attrition Rate</t>
  </si>
  <si>
    <t>Avg Salary (NGN)</t>
  </si>
  <si>
    <t>Avg Performance Score</t>
  </si>
  <si>
    <t>Avg Years Experience</t>
  </si>
  <si>
    <t>Largest Department</t>
  </si>
  <si>
    <t>Use COUNTIF after cleaning</t>
  </si>
  <si>
    <t>Top Education Level</t>
  </si>
  <si>
    <t>Salary_NG</t>
  </si>
  <si>
    <t>Tenure_year</t>
  </si>
  <si>
    <t>Age_Group</t>
  </si>
  <si>
    <t>Salary_bamd</t>
  </si>
  <si>
    <t>Under 30</t>
  </si>
  <si>
    <t>High</t>
  </si>
  <si>
    <t>30-40</t>
  </si>
  <si>
    <t>Mid</t>
  </si>
  <si>
    <t>Above 50</t>
  </si>
  <si>
    <t>Low</t>
  </si>
  <si>
    <t>41-50</t>
  </si>
  <si>
    <t>Very High</t>
  </si>
  <si>
    <t>feMale</t>
  </si>
  <si>
    <t>FeMale</t>
  </si>
  <si>
    <t>Salary_band</t>
  </si>
  <si>
    <t>DepartmentID</t>
  </si>
  <si>
    <t>DepartmentName</t>
  </si>
  <si>
    <t>DepartmentHead</t>
  </si>
  <si>
    <t>D001</t>
  </si>
  <si>
    <t>TBD</t>
  </si>
  <si>
    <t>D002</t>
  </si>
  <si>
    <t>D003</t>
  </si>
  <si>
    <t>D004</t>
  </si>
  <si>
    <t>D005</t>
  </si>
  <si>
    <t>D006</t>
  </si>
  <si>
    <t>D007</t>
  </si>
  <si>
    <t>D008</t>
  </si>
  <si>
    <t>TB</t>
  </si>
  <si>
    <t>Column1</t>
  </si>
  <si>
    <t>Row Labels</t>
  </si>
  <si>
    <t>Grand Total</t>
  </si>
  <si>
    <t>Count of Employee_ID</t>
  </si>
  <si>
    <t>Column Labels</t>
  </si>
  <si>
    <t>Sum of Salary_NG</t>
  </si>
  <si>
    <t>Average of Salary_NG</t>
  </si>
  <si>
    <t xml:space="preserve"> </t>
  </si>
  <si>
    <t>Average of Salary_NG2</t>
  </si>
  <si>
    <t>Hire_year</t>
  </si>
  <si>
    <t>Sum of Performance_Score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</si>
</sst>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46A]#,##0.00"/>
    <numFmt numFmtId="165" formatCode="[$₦-466]\ #,##0.0"/>
    <numFmt numFmtId="166" formatCode="0.0"/>
    <numFmt numFmtId="167" formatCode="[$₦-467]\ #,\K"/>
  </numFmts>
  <fonts count="12" x14ac:knownFonts="1">
    <font>
      <sz val="11"/>
      <color theme="1"/>
      <name val="Calibri"/>
      <family val="2"/>
      <scheme val="minor"/>
    </font>
    <font>
      <b/>
      <sz val="11"/>
      <color rgb="FFFFFFFF"/>
      <name val="Arial"/>
    </font>
    <font>
      <sz val="10"/>
      <name val="Arial"/>
    </font>
    <font>
      <sz val="10"/>
      <color rgb="FF7B3F00"/>
      <name val="Arial"/>
    </font>
    <font>
      <b/>
      <i/>
      <sz val="10"/>
      <color rgb="FF7B3F00"/>
      <name val="Arial"/>
    </font>
    <font>
      <i/>
      <sz val="9"/>
      <color rgb="FF595959"/>
      <name val="Arial"/>
    </font>
    <font>
      <b/>
      <sz val="14"/>
      <color rgb="FF1F4E79"/>
      <name val="Arial"/>
    </font>
    <font>
      <b/>
      <sz val="11"/>
      <color theme="1"/>
      <name val="Calibri"/>
      <family val="2"/>
      <scheme val="minor"/>
    </font>
    <font>
      <sz val="11"/>
      <color theme="1"/>
      <name val="Calibri"/>
      <family val="2"/>
      <scheme val="minor"/>
    </font>
    <font>
      <sz val="11"/>
      <color rgb="FFFF0000"/>
      <name val="Calibri"/>
      <family val="2"/>
      <scheme val="minor"/>
    </font>
    <font>
      <sz val="8"/>
      <name val="Calibri"/>
      <family val="2"/>
      <scheme val="minor"/>
    </font>
    <font>
      <sz val="10"/>
      <name val="Arial"/>
      <family val="2"/>
    </font>
  </fonts>
  <fills count="7">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FFE699"/>
      </patternFill>
    </fill>
    <fill>
      <patternFill patternType="solid">
        <fgColor rgb="FFFAECE7"/>
        <bgColor indexed="64"/>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2">
    <xf numFmtId="0" fontId="0" fillId="0" borderId="0"/>
    <xf numFmtId="44" fontId="8" fillId="0" borderId="0" applyFont="0" applyFill="0" applyBorder="0" applyAlignment="0" applyProtection="0"/>
  </cellStyleXfs>
  <cellXfs count="2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4" borderId="1" xfId="0" applyFont="1" applyFill="1" applyBorder="1" applyAlignment="1">
      <alignment vertical="center"/>
    </xf>
    <xf numFmtId="0" fontId="3" fillId="5" borderId="1" xfId="0" applyFont="1" applyFill="1" applyBorder="1" applyAlignment="1">
      <alignment vertical="center"/>
    </xf>
    <xf numFmtId="0" fontId="4" fillId="0" borderId="0" xfId="0" applyFont="1"/>
    <xf numFmtId="0" fontId="5" fillId="0" borderId="0" xfId="0" applyFont="1"/>
    <xf numFmtId="0" fontId="6" fillId="0" borderId="0" xfId="0" applyFont="1"/>
    <xf numFmtId="0" fontId="2" fillId="3" borderId="0" xfId="0" applyFont="1" applyFill="1"/>
    <xf numFmtId="0" fontId="2" fillId="4" borderId="0" xfId="0" applyFont="1" applyFill="1"/>
    <xf numFmtId="14" fontId="0" fillId="0" borderId="0" xfId="0" applyNumberFormat="1"/>
    <xf numFmtId="0" fontId="7"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0" fillId="0" borderId="0" xfId="1" applyNumberFormat="1" applyFont="1"/>
    <xf numFmtId="10" fontId="0" fillId="0" borderId="0" xfId="0" applyNumberFormat="1"/>
    <xf numFmtId="167" fontId="0" fillId="0" borderId="0" xfId="0" applyNumberFormat="1"/>
    <xf numFmtId="0" fontId="0" fillId="6" borderId="0" xfId="0" applyFill="1"/>
    <xf numFmtId="166" fontId="0" fillId="6" borderId="0" xfId="0" applyNumberFormat="1" applyFill="1"/>
    <xf numFmtId="0" fontId="9" fillId="6" borderId="0" xfId="0" applyFont="1" applyFill="1"/>
    <xf numFmtId="0" fontId="11" fillId="3" borderId="1" xfId="0" applyFont="1" applyFill="1" applyBorder="1" applyAlignment="1">
      <alignment vertical="center"/>
    </xf>
  </cellXfs>
  <cellStyles count="2">
    <cellStyle name="Currency" xfId="1" builtinId="4"/>
    <cellStyle name="Normal" xfId="0" builtinId="0"/>
  </cellStyles>
  <dxfs count="36">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7" formatCode="[$₦-467]\ #,\K"/>
    </dxf>
    <dxf>
      <numFmt numFmtId="165" formatCode="[$₦-466]\ #,##0.0"/>
    </dxf>
    <dxf>
      <numFmt numFmtId="165" formatCode="[$₦-466]\ #,##0.0"/>
    </dxf>
    <dxf>
      <numFmt numFmtId="167" formatCode="[$₦-467]\ #,\K"/>
    </dxf>
    <dxf>
      <numFmt numFmtId="167" formatCode="[$₦-467]\ #,\K"/>
    </dxf>
    <dxf>
      <numFmt numFmtId="167" formatCode="[$₦-467]\ #,\K"/>
    </dxf>
    <dxf>
      <numFmt numFmtId="167" formatCode="[$₦-467]\ #,\K"/>
    </dxf>
    <dxf>
      <numFmt numFmtId="168" formatCode="[$₦-466]\ #,##0"/>
    </dxf>
    <dxf>
      <numFmt numFmtId="167" formatCode="[$₦-467]\ #,\K"/>
    </dxf>
    <dxf>
      <numFmt numFmtId="169" formatCode="[$₦-46A]#,##0.0"/>
    </dxf>
    <dxf>
      <numFmt numFmtId="169" formatCode="[$₦-46A]#,##0.0"/>
    </dxf>
    <dxf>
      <numFmt numFmtId="14" formatCode="0.00%"/>
    </dxf>
    <dxf>
      <numFmt numFmtId="0" formatCode="General"/>
    </dxf>
    <dxf>
      <numFmt numFmtId="0" formatCode="General"/>
    </dxf>
    <dxf>
      <numFmt numFmtId="165" formatCode="[$₦-466]\ #,##0.0"/>
    </dxf>
    <dxf>
      <numFmt numFmtId="19" formatCode="m/d/yyyy"/>
    </dxf>
    <dxf>
      <numFmt numFmtId="0" formatCode="General"/>
    </dxf>
    <dxf>
      <numFmt numFmtId="0" formatCode="General"/>
    </dxf>
    <dxf>
      <numFmt numFmtId="164" formatCode="[$₦-46A]#,##0.0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font>
        <color rgb="FFFFFFFE"/>
      </font>
      <fill>
        <patternFill>
          <bgColor rgb="FF993C1C"/>
        </patternFill>
      </fill>
    </dxf>
    <dxf>
      <font>
        <b/>
        <i val="0"/>
        <sz val="10"/>
        <color rgb="FFFAECE7"/>
        <name val="Cambria"/>
        <family val="1"/>
        <scheme val="major"/>
      </font>
      <fill>
        <patternFill>
          <bgColor rgb="FFFAECE7"/>
        </patternFill>
      </fill>
    </dxf>
  </dxfs>
  <tableStyles count="1" defaultTableStyle="TableStyleMedium9" defaultPivotStyle="PivotStyleLight16">
    <tableStyle name="Slicer Style 1" pivot="0" table="0" count="5" xr9:uid="{0E8D923D-80F6-42AE-AE55-737083B3C9D5}">
      <tableStyleElement type="wholeTable" dxfId="35"/>
      <tableStyleElement type="headerRow" dxfId="34"/>
    </tableStyle>
  </tableStyles>
  <colors>
    <mruColors>
      <color rgb="FFF0997B"/>
      <color rgb="FFF5C4B3"/>
      <color rgb="FFFAECE7"/>
      <color rgb="FF993C1D"/>
      <color rgb="FF993C1C"/>
      <color rgb="FFD85A30"/>
      <color rgb="FFFFFFFE"/>
      <color rgb="FFBE4924"/>
      <color rgb="FF000000"/>
    </mruColors>
  </colors>
  <extLst>
    <ext xmlns:x14="http://schemas.microsoft.com/office/spreadsheetml/2009/9/main" uri="{46F421CA-312F-682f-3DD2-61675219B42D}">
      <x14:dxfs count="3">
        <dxf>
          <font>
            <color rgb="FF993C1D"/>
          </font>
          <fill>
            <patternFill>
              <bgColor rgb="FFF5C4B3"/>
            </patternFill>
          </fill>
        </dxf>
        <dxf>
          <font>
            <color theme="0"/>
          </font>
          <fill>
            <patternFill>
              <bgColor rgb="FFD85A30"/>
            </patternFill>
          </fill>
        </dxf>
        <dxf>
          <font>
            <color rgb="FF993C1C"/>
          </font>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5.xml"/><Relationship Id="rId39" Type="http://schemas.openxmlformats.org/officeDocument/2006/relationships/customXml" Target="../customXml/item6.xml"/><Relationship Id="rId21" Type="http://schemas.openxmlformats.org/officeDocument/2006/relationships/pivotCacheDefinition" Target="pivotCache/pivotCacheDefinition12.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onnections" Target="connections.xml"/><Relationship Id="rId11" Type="http://schemas.openxmlformats.org/officeDocument/2006/relationships/pivotCacheDefinition" Target="pivotCache/pivotCacheDefinition2.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4.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1.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[HR_Analysis.xlsx]pivot_table!PivotTable10</c:name>
    <c:fmtId val="4"/>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a:t>Salary</a:t>
            </a:r>
            <a:r>
              <a:rPr lang="en-US" baseline="0"/>
              <a:t> Band Distribution Ovrview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EC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pivot_table!$I$20</c:f>
              <c:strCache>
                <c:ptCount val="1"/>
                <c:pt idx="0">
                  <c:v>Total</c:v>
                </c:pt>
              </c:strCache>
            </c:strRef>
          </c:tx>
          <c:spPr>
            <a:solidFill>
              <a:srgbClr val="FAECE7"/>
            </a:solidFill>
            <a:ln>
              <a:noFill/>
            </a:ln>
            <a:effectLst/>
          </c:spPr>
          <c:invertIfNegative val="0"/>
          <c:cat>
            <c:strRef>
              <c:f>pivot_table!$H$21:$H$25</c:f>
              <c:strCache>
                <c:ptCount val="4"/>
                <c:pt idx="0">
                  <c:v>Very High</c:v>
                </c:pt>
                <c:pt idx="1">
                  <c:v>Mid</c:v>
                </c:pt>
                <c:pt idx="2">
                  <c:v>Low</c:v>
                </c:pt>
                <c:pt idx="3">
                  <c:v>High</c:v>
                </c:pt>
              </c:strCache>
            </c:strRef>
          </c:cat>
          <c:val>
            <c:numRef>
              <c:f>pivot_table!$I$21:$I$25</c:f>
              <c:numCache>
                <c:formatCode>General</c:formatCode>
                <c:ptCount val="4"/>
                <c:pt idx="0">
                  <c:v>4</c:v>
                </c:pt>
                <c:pt idx="1">
                  <c:v>11</c:v>
                </c:pt>
                <c:pt idx="2">
                  <c:v>5</c:v>
                </c:pt>
                <c:pt idx="3">
                  <c:v>11</c:v>
                </c:pt>
              </c:numCache>
            </c:numRef>
          </c:val>
          <c:extLst>
            <c:ext xmlns:c16="http://schemas.microsoft.com/office/drawing/2014/chart" uri="{C3380CC4-5D6E-409C-BE32-E72D297353CC}">
              <c16:uniqueId val="{00000000-5028-4CA3-B2C6-AD775CF15755}"/>
            </c:ext>
          </c:extLst>
        </c:ser>
        <c:dLbls>
          <c:showLegendKey val="0"/>
          <c:showVal val="0"/>
          <c:showCatName val="0"/>
          <c:showSerName val="0"/>
          <c:showPercent val="0"/>
          <c:showBubbleSize val="0"/>
        </c:dLbls>
        <c:gapWidth val="219"/>
        <c:overlap val="-27"/>
        <c:axId val="846374575"/>
        <c:axId val="846353935"/>
      </c:barChart>
      <c:catAx>
        <c:axId val="84637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353935"/>
        <c:crosses val="autoZero"/>
        <c:auto val="1"/>
        <c:lblAlgn val="ctr"/>
        <c:lblOffset val="100"/>
        <c:noMultiLvlLbl val="0"/>
      </c:catAx>
      <c:valAx>
        <c:axId val="846353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37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rgbClr val="F5C4B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[HR_Analysis.xlsx]pivot_table!PivotTable12</c:name>
    <c:fmtId val="9"/>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a:solidFill>
                  <a:srgbClr val="FAECE7"/>
                </a:solidFill>
              </a:rPr>
              <a:t>Employment Status Overview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AECE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85A30"/>
          </a:solidFill>
          <a:ln w="19050">
            <a:solidFill>
              <a:schemeClr val="lt1"/>
            </a:solidFill>
          </a:ln>
          <a:effectLst/>
        </c:spPr>
      </c:pivotFmt>
      <c:pivotFmt>
        <c:idx val="8"/>
        <c:spPr>
          <a:solidFill>
            <a:srgbClr val="F5C4B3"/>
          </a:solidFill>
          <a:ln w="19050">
            <a:solidFill>
              <a:schemeClr val="lt1"/>
            </a:solidFill>
          </a:ln>
          <a:effectLst/>
        </c:spPr>
        <c:dLbl>
          <c:idx val="0"/>
          <c:layout>
            <c:manualLayout>
              <c:x val="-4.7761194029850726E-2"/>
              <c:y val="7.8433431115227329E-3"/>
            </c:manualLayout>
          </c:layout>
          <c:tx>
            <c:rich>
              <a:bodyPr rot="0" spcFirstLastPara="1" vertOverflow="ellipsis" vert="horz" wrap="square" lIns="38100" tIns="19050" rIns="38100" bIns="19050" anchor="ctr" anchorCtr="1">
                <a:noAutofit/>
              </a:bodyPr>
              <a:lstStyle/>
              <a:p>
                <a:pPr>
                  <a:defRPr sz="1200" b="1" i="0" u="none" strike="noStrike" kern="1200" baseline="0">
                    <a:solidFill>
                      <a:srgbClr val="F0997B"/>
                    </a:solidFill>
                    <a:latin typeface="+mn-lt"/>
                    <a:ea typeface="+mn-ea"/>
                    <a:cs typeface="+mn-cs"/>
                  </a:defRPr>
                </a:pPr>
                <a:r>
                  <a:rPr lang="en-US" baseline="0"/>
                  <a:t> </a:t>
                </a:r>
                <a:fld id="{8ED12D32-86D7-4213-8842-40CE6098F6D2}" type="VALUE">
                  <a:rPr lang="en-US" baseline="0"/>
                  <a:pPr>
                    <a:defRPr sz="1200" b="1">
                      <a:solidFill>
                        <a:srgbClr val="F0997B"/>
                      </a:solidFill>
                    </a:defRPr>
                  </a:pPr>
                  <a:t>[VALUE]</a:t>
                </a:fld>
                <a:r>
                  <a:rPr lang="en-US" baseline="0"/>
                  <a:t>, </a:t>
                </a: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F0997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2080401143886865"/>
                  <c:h val="0.10797385620915033"/>
                </c:manualLayout>
              </c15:layout>
              <c15:dlblFieldTable/>
              <c15:showDataLabelsRange val="0"/>
            </c:ext>
          </c:extLst>
        </c:dLbl>
      </c:pivotFmt>
      <c:pivotFmt>
        <c:idx val="9"/>
        <c:spPr>
          <a:solidFill>
            <a:srgbClr val="F0997B"/>
          </a:solidFill>
          <a:ln w="19050">
            <a:solidFill>
              <a:schemeClr val="lt1"/>
            </a:solidFill>
          </a:ln>
          <a:effectLst/>
        </c:spPr>
      </c:pivotFmt>
    </c:pivotFmts>
    <c:plotArea>
      <c:layout/>
      <c:doughnutChart>
        <c:varyColors val="1"/>
        <c:ser>
          <c:idx val="0"/>
          <c:order val="0"/>
          <c:tx>
            <c:strRef>
              <c:f>pivot_table!$I$27</c:f>
              <c:strCache>
                <c:ptCount val="1"/>
                <c:pt idx="0">
                  <c:v>Total</c:v>
                </c:pt>
              </c:strCache>
            </c:strRef>
          </c:tx>
          <c:dPt>
            <c:idx val="0"/>
            <c:bubble3D val="0"/>
            <c:spPr>
              <a:solidFill>
                <a:srgbClr val="D85A30"/>
              </a:solidFill>
              <a:ln w="19050">
                <a:solidFill>
                  <a:schemeClr val="lt1"/>
                </a:solidFill>
              </a:ln>
              <a:effectLst/>
            </c:spPr>
            <c:extLst>
              <c:ext xmlns:c16="http://schemas.microsoft.com/office/drawing/2014/chart" uri="{C3380CC4-5D6E-409C-BE32-E72D297353CC}">
                <c16:uniqueId val="{00000001-ADB2-419E-90A1-FE9EB30BDC3E}"/>
              </c:ext>
            </c:extLst>
          </c:dPt>
          <c:dPt>
            <c:idx val="1"/>
            <c:bubble3D val="0"/>
            <c:spPr>
              <a:solidFill>
                <a:srgbClr val="F5C4B3"/>
              </a:solidFill>
              <a:ln w="19050">
                <a:solidFill>
                  <a:schemeClr val="lt1"/>
                </a:solidFill>
              </a:ln>
              <a:effectLst/>
            </c:spPr>
            <c:extLst>
              <c:ext xmlns:c16="http://schemas.microsoft.com/office/drawing/2014/chart" uri="{C3380CC4-5D6E-409C-BE32-E72D297353CC}">
                <c16:uniqueId val="{00000003-ADB2-419E-90A1-FE9EB30BDC3E}"/>
              </c:ext>
            </c:extLst>
          </c:dPt>
          <c:dPt>
            <c:idx val="2"/>
            <c:bubble3D val="0"/>
            <c:spPr>
              <a:solidFill>
                <a:srgbClr val="F0997B"/>
              </a:solidFill>
              <a:ln w="19050">
                <a:solidFill>
                  <a:schemeClr val="lt1"/>
                </a:solidFill>
              </a:ln>
              <a:effectLst/>
            </c:spPr>
            <c:extLst>
              <c:ext xmlns:c16="http://schemas.microsoft.com/office/drawing/2014/chart" uri="{C3380CC4-5D6E-409C-BE32-E72D297353CC}">
                <c16:uniqueId val="{00000005-ADB2-419E-90A1-FE9EB30BDC3E}"/>
              </c:ext>
            </c:extLst>
          </c:dPt>
          <c:dLbls>
            <c:dLbl>
              <c:idx val="1"/>
              <c:layout>
                <c:manualLayout>
                  <c:x val="-4.7761194029850726E-2"/>
                  <c:y val="7.8433431115227329E-3"/>
                </c:manualLayout>
              </c:layout>
              <c:tx>
                <c:rich>
                  <a:bodyPr rot="0" spcFirstLastPara="1" vertOverflow="ellipsis" vert="horz" wrap="square" lIns="38100" tIns="19050" rIns="38100" bIns="19050" anchor="ctr" anchorCtr="1">
                    <a:noAutofit/>
                  </a:bodyPr>
                  <a:lstStyle/>
                  <a:p>
                    <a:pPr>
                      <a:defRPr sz="1200" b="1" i="0" u="none" strike="noStrike" kern="1200" baseline="0">
                        <a:solidFill>
                          <a:srgbClr val="F0997B"/>
                        </a:solidFill>
                        <a:latin typeface="+mn-lt"/>
                        <a:ea typeface="+mn-ea"/>
                        <a:cs typeface="+mn-cs"/>
                      </a:defRPr>
                    </a:pPr>
                    <a:r>
                      <a:rPr lang="en-US" baseline="0"/>
                      <a:t> </a:t>
                    </a:r>
                    <a:fld id="{8ED12D32-86D7-4213-8842-40CE6098F6D2}" type="VALUE">
                      <a:rPr lang="en-US" baseline="0"/>
                      <a:pPr>
                        <a:defRPr sz="1200" b="1">
                          <a:solidFill>
                            <a:srgbClr val="F0997B"/>
                          </a:solidFill>
                        </a:defRPr>
                      </a:pPr>
                      <a:t>[VALUE]</a:t>
                    </a:fld>
                    <a:r>
                      <a:rPr lang="en-US" baseline="0"/>
                      <a:t>, </a:t>
                    </a: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F0997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2080401143886865"/>
                      <c:h val="0.10797385620915033"/>
                    </c:manualLayout>
                  </c15:layout>
                  <c15:dlblFieldTable/>
                  <c15:showDataLabelsRange val="0"/>
                </c:ext>
                <c:ext xmlns:c16="http://schemas.microsoft.com/office/drawing/2014/chart" uri="{C3380CC4-5D6E-409C-BE32-E72D297353CC}">
                  <c16:uniqueId val="{00000003-ADB2-419E-90A1-FE9EB30BDC3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AECE7"/>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pivot_table!$H$28:$H$31</c:f>
              <c:strCache>
                <c:ptCount val="3"/>
                <c:pt idx="0">
                  <c:v>Active</c:v>
                </c:pt>
                <c:pt idx="1">
                  <c:v>Resigned</c:v>
                </c:pt>
                <c:pt idx="2">
                  <c:v>Terminated</c:v>
                </c:pt>
              </c:strCache>
            </c:strRef>
          </c:cat>
          <c:val>
            <c:numRef>
              <c:f>pivot_table!$I$28:$I$31</c:f>
              <c:numCache>
                <c:formatCode>0.00%</c:formatCode>
                <c:ptCount val="3"/>
                <c:pt idx="0">
                  <c:v>0.4838709677419355</c:v>
                </c:pt>
                <c:pt idx="1">
                  <c:v>0.22580645161290322</c:v>
                </c:pt>
                <c:pt idx="2">
                  <c:v>0.29032258064516131</c:v>
                </c:pt>
              </c:numCache>
            </c:numRef>
          </c:val>
          <c:extLst>
            <c:ext xmlns:c16="http://schemas.microsoft.com/office/drawing/2014/chart" uri="{C3380CC4-5D6E-409C-BE32-E72D297353CC}">
              <c16:uniqueId val="{00000006-ADB2-419E-90A1-FE9EB30BDC3E}"/>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[HR_Analysis.xlsx]pivot_table!PivotTable2</c:name>
    <c:fmtId val="3"/>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a:solidFill>
                  <a:srgbClr val="FAECE7"/>
                </a:solidFill>
              </a:rPr>
              <a:t>Annual</a:t>
            </a:r>
            <a:r>
              <a:rPr lang="en-US" baseline="0">
                <a:solidFill>
                  <a:srgbClr val="FAECE7"/>
                </a:solidFill>
              </a:rPr>
              <a:t> Hiring Trend</a:t>
            </a:r>
            <a:endParaRPr lang="en-US">
              <a:solidFill>
                <a:srgbClr val="FAECE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AECE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pivot_table!$L$11</c:f>
              <c:strCache>
                <c:ptCount val="1"/>
                <c:pt idx="0">
                  <c:v>Total</c:v>
                </c:pt>
              </c:strCache>
            </c:strRef>
          </c:tx>
          <c:spPr>
            <a:ln w="28575" cap="rnd">
              <a:solidFill>
                <a:srgbClr val="FAECE7"/>
              </a:solidFill>
              <a:round/>
            </a:ln>
            <a:effectLst/>
          </c:spPr>
          <c:marker>
            <c:symbol val="none"/>
          </c:marker>
          <c:cat>
            <c:strRef>
              <c:f>pivot_table!$K$12:$K$17</c:f>
              <c:strCache>
                <c:ptCount val="5"/>
                <c:pt idx="0">
                  <c:v>2019</c:v>
                </c:pt>
                <c:pt idx="1">
                  <c:v>2020</c:v>
                </c:pt>
                <c:pt idx="2">
                  <c:v>2021</c:v>
                </c:pt>
                <c:pt idx="3">
                  <c:v>2022</c:v>
                </c:pt>
                <c:pt idx="4">
                  <c:v>2023</c:v>
                </c:pt>
              </c:strCache>
            </c:strRef>
          </c:cat>
          <c:val>
            <c:numRef>
              <c:f>pivot_table!$L$12:$L$17</c:f>
              <c:numCache>
                <c:formatCode>General</c:formatCode>
                <c:ptCount val="5"/>
                <c:pt idx="0">
                  <c:v>44</c:v>
                </c:pt>
                <c:pt idx="1">
                  <c:v>31</c:v>
                </c:pt>
                <c:pt idx="2">
                  <c:v>56</c:v>
                </c:pt>
                <c:pt idx="3">
                  <c:v>39</c:v>
                </c:pt>
                <c:pt idx="4">
                  <c:v>30</c:v>
                </c:pt>
              </c:numCache>
            </c:numRef>
          </c:val>
          <c:smooth val="0"/>
          <c:extLst>
            <c:ext xmlns:c16="http://schemas.microsoft.com/office/drawing/2014/chart" uri="{C3380CC4-5D6E-409C-BE32-E72D297353CC}">
              <c16:uniqueId val="{00000000-1050-4FF9-BAA7-30A3937344A1}"/>
            </c:ext>
          </c:extLst>
        </c:ser>
        <c:dLbls>
          <c:showLegendKey val="0"/>
          <c:showVal val="0"/>
          <c:showCatName val="0"/>
          <c:showSerName val="0"/>
          <c:showPercent val="0"/>
          <c:showBubbleSize val="0"/>
        </c:dLbls>
        <c:smooth val="0"/>
        <c:axId val="102052191"/>
        <c:axId val="102035391"/>
      </c:lineChart>
      <c:catAx>
        <c:axId val="10205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102035391"/>
        <c:crosses val="autoZero"/>
        <c:auto val="1"/>
        <c:lblAlgn val="ctr"/>
        <c:lblOffset val="100"/>
        <c:noMultiLvlLbl val="0"/>
      </c:catAx>
      <c:valAx>
        <c:axId val="10203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10205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[HR_Analysis.xlsx]pivot_table!PivotTable8</c:name>
    <c:fmtId val="3"/>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baseline="0">
                <a:solidFill>
                  <a:srgbClr val="FAECE7"/>
                </a:solidFill>
              </a:rPr>
              <a:t>Work Force Age 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EC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pivot_table!$I$13</c:f>
              <c:strCache>
                <c:ptCount val="1"/>
                <c:pt idx="0">
                  <c:v>Total</c:v>
                </c:pt>
              </c:strCache>
            </c:strRef>
          </c:tx>
          <c:spPr>
            <a:solidFill>
              <a:srgbClr val="FAECE7"/>
            </a:solidFill>
            <a:ln>
              <a:noFill/>
            </a:ln>
            <a:effectLst/>
          </c:spPr>
          <c:invertIfNegative val="0"/>
          <c:cat>
            <c:strRef>
              <c:f>pivot_table!$H$14:$H$18</c:f>
              <c:strCache>
                <c:ptCount val="4"/>
                <c:pt idx="0">
                  <c:v>30-40</c:v>
                </c:pt>
                <c:pt idx="1">
                  <c:v>41-50</c:v>
                </c:pt>
                <c:pt idx="2">
                  <c:v>Above 50</c:v>
                </c:pt>
                <c:pt idx="3">
                  <c:v>Under 30</c:v>
                </c:pt>
              </c:strCache>
            </c:strRef>
          </c:cat>
          <c:val>
            <c:numRef>
              <c:f>pivot_table!$I$14:$I$18</c:f>
              <c:numCache>
                <c:formatCode>General</c:formatCode>
                <c:ptCount val="4"/>
                <c:pt idx="0">
                  <c:v>12</c:v>
                </c:pt>
                <c:pt idx="1">
                  <c:v>8</c:v>
                </c:pt>
                <c:pt idx="2">
                  <c:v>6</c:v>
                </c:pt>
                <c:pt idx="3">
                  <c:v>5</c:v>
                </c:pt>
              </c:numCache>
            </c:numRef>
          </c:val>
          <c:extLst>
            <c:ext xmlns:c16="http://schemas.microsoft.com/office/drawing/2014/chart" uri="{C3380CC4-5D6E-409C-BE32-E72D297353CC}">
              <c16:uniqueId val="{00000000-1553-4CCA-BE1C-2A2DAA514A7E}"/>
            </c:ext>
          </c:extLst>
        </c:ser>
        <c:dLbls>
          <c:showLegendKey val="0"/>
          <c:showVal val="0"/>
          <c:showCatName val="0"/>
          <c:showSerName val="0"/>
          <c:showPercent val="0"/>
          <c:showBubbleSize val="0"/>
        </c:dLbls>
        <c:gapWidth val="182"/>
        <c:axId val="238064943"/>
        <c:axId val="238069263"/>
      </c:barChart>
      <c:catAx>
        <c:axId val="23806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238069263"/>
        <c:crosses val="autoZero"/>
        <c:auto val="1"/>
        <c:lblAlgn val="ctr"/>
        <c:lblOffset val="100"/>
        <c:noMultiLvlLbl val="0"/>
      </c:catAx>
      <c:valAx>
        <c:axId val="23806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23806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[HR_Analysis.xlsx]pivot_table!PivotTable6</c:name>
    <c:fmtId val="5"/>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sz="1100" b="1">
                <a:latin typeface="+mj-lt"/>
              </a:rPr>
              <a:t>Gender</a:t>
            </a:r>
            <a:r>
              <a:rPr lang="en-US" sz="1100" b="1" baseline="0">
                <a:latin typeface="+mj-lt"/>
              </a:rPr>
              <a:t> Ratio Across Work Force</a:t>
            </a:r>
            <a:endParaRPr lang="en-US" sz="11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AECE7"/>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0997B"/>
          </a:solidFill>
          <a:ln w="19050">
            <a:solidFill>
              <a:schemeClr val="lt1"/>
            </a:solidFill>
          </a:ln>
          <a:effectLst/>
        </c:spPr>
      </c:pivotFmt>
      <c:pivotFmt>
        <c:idx val="8"/>
        <c:spPr>
          <a:solidFill>
            <a:srgbClr val="D85A30"/>
          </a:solidFill>
          <a:ln w="19050">
            <a:solidFill>
              <a:schemeClr val="lt1"/>
            </a:solidFill>
          </a:ln>
          <a:effectLst/>
        </c:spPr>
      </c:pivotFmt>
    </c:pivotFmts>
    <c:plotArea>
      <c:layout/>
      <c:pieChart>
        <c:varyColors val="1"/>
        <c:ser>
          <c:idx val="0"/>
          <c:order val="0"/>
          <c:tx>
            <c:strRef>
              <c:f>pivot_table!$E$13</c:f>
              <c:strCache>
                <c:ptCount val="1"/>
                <c:pt idx="0">
                  <c:v>Total</c:v>
                </c:pt>
              </c:strCache>
            </c:strRef>
          </c:tx>
          <c:dPt>
            <c:idx val="0"/>
            <c:bubble3D val="0"/>
            <c:spPr>
              <a:solidFill>
                <a:srgbClr val="F0997B"/>
              </a:solidFill>
              <a:ln w="19050">
                <a:solidFill>
                  <a:schemeClr val="lt1"/>
                </a:solidFill>
              </a:ln>
              <a:effectLst/>
            </c:spPr>
            <c:extLst>
              <c:ext xmlns:c16="http://schemas.microsoft.com/office/drawing/2014/chart" uri="{C3380CC4-5D6E-409C-BE32-E72D297353CC}">
                <c16:uniqueId val="{00000001-EA86-4F9C-B022-C78783724F4C}"/>
              </c:ext>
            </c:extLst>
          </c:dPt>
          <c:dPt>
            <c:idx val="1"/>
            <c:bubble3D val="0"/>
            <c:spPr>
              <a:solidFill>
                <a:srgbClr val="D85A30"/>
              </a:solidFill>
              <a:ln w="19050">
                <a:solidFill>
                  <a:schemeClr val="lt1"/>
                </a:solidFill>
              </a:ln>
              <a:effectLst/>
            </c:spPr>
            <c:extLst>
              <c:ext xmlns:c16="http://schemas.microsoft.com/office/drawing/2014/chart" uri="{C3380CC4-5D6E-409C-BE32-E72D297353CC}">
                <c16:uniqueId val="{00000003-EA86-4F9C-B022-C78783724F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AECE7"/>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pivot_table!$D$14:$D$16</c:f>
              <c:strCache>
                <c:ptCount val="2"/>
                <c:pt idx="0">
                  <c:v>Female</c:v>
                </c:pt>
                <c:pt idx="1">
                  <c:v>Male</c:v>
                </c:pt>
              </c:strCache>
            </c:strRef>
          </c:cat>
          <c:val>
            <c:numRef>
              <c:f>pivot_table!$E$14:$E$16</c:f>
              <c:numCache>
                <c:formatCode>0.00%</c:formatCode>
                <c:ptCount val="2"/>
                <c:pt idx="0">
                  <c:v>0.67741935483870963</c:v>
                </c:pt>
                <c:pt idx="1">
                  <c:v>0.32258064516129031</c:v>
                </c:pt>
              </c:numCache>
            </c:numRef>
          </c:val>
          <c:extLst>
            <c:ext xmlns:c16="http://schemas.microsoft.com/office/drawing/2014/chart" uri="{C3380CC4-5D6E-409C-BE32-E72D297353CC}">
              <c16:uniqueId val="{00000004-EA86-4F9C-B022-C78783724F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[HR_Analysis.xlsx]pivot_table!PivotTable3</c:name>
    <c:fmtId val="42"/>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a:solidFill>
                  <a:srgbClr val="FAECE7"/>
                </a:solidFill>
              </a:rPr>
              <a:t>Head</a:t>
            </a:r>
            <a:r>
              <a:rPr lang="en-US" baseline="0">
                <a:solidFill>
                  <a:srgbClr val="FAECE7"/>
                </a:solidFill>
              </a:rPr>
              <a:t> 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EC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6951957510956"/>
          <c:y val="0.16709663167623129"/>
          <c:w val="0.77174043188573205"/>
          <c:h val="0.74194423594987191"/>
        </c:manualLayout>
      </c:layout>
      <c:barChart>
        <c:barDir val="bar"/>
        <c:grouping val="clustered"/>
        <c:varyColors val="0"/>
        <c:ser>
          <c:idx val="0"/>
          <c:order val="0"/>
          <c:tx>
            <c:strRef>
              <c:f>pivot_table!$B$1</c:f>
              <c:strCache>
                <c:ptCount val="1"/>
                <c:pt idx="0">
                  <c:v>Total</c:v>
                </c:pt>
              </c:strCache>
            </c:strRef>
          </c:tx>
          <c:spPr>
            <a:solidFill>
              <a:srgbClr val="FAECE7"/>
            </a:solidFill>
            <a:ln>
              <a:noFill/>
            </a:ln>
            <a:effectLst/>
          </c:spPr>
          <c:invertIfNegative val="0"/>
          <c:cat>
            <c:strRef>
              <c:f>pivot_table!$A$2:$A$9</c:f>
              <c:strCache>
                <c:ptCount val="7"/>
                <c:pt idx="0">
                  <c:v>IT</c:v>
                </c:pt>
                <c:pt idx="1">
                  <c:v>Sales</c:v>
                </c:pt>
                <c:pt idx="2">
                  <c:v>Finance</c:v>
                </c:pt>
                <c:pt idx="3">
                  <c:v>HR</c:v>
                </c:pt>
                <c:pt idx="4">
                  <c:v>Marketing</c:v>
                </c:pt>
                <c:pt idx="5">
                  <c:v>Legal</c:v>
                </c:pt>
                <c:pt idx="6">
                  <c:v>Admin</c:v>
                </c:pt>
              </c:strCache>
            </c:strRef>
          </c:cat>
          <c:val>
            <c:numRef>
              <c:f>pivot_table!$B$2:$B$9</c:f>
              <c:numCache>
                <c:formatCode>General</c:formatCode>
                <c:ptCount val="7"/>
                <c:pt idx="0">
                  <c:v>13</c:v>
                </c:pt>
                <c:pt idx="1">
                  <c:v>5</c:v>
                </c:pt>
                <c:pt idx="2">
                  <c:v>4</c:v>
                </c:pt>
                <c:pt idx="3">
                  <c:v>3</c:v>
                </c:pt>
                <c:pt idx="4">
                  <c:v>3</c:v>
                </c:pt>
                <c:pt idx="5">
                  <c:v>2</c:v>
                </c:pt>
                <c:pt idx="6">
                  <c:v>1</c:v>
                </c:pt>
              </c:numCache>
            </c:numRef>
          </c:val>
          <c:extLst>
            <c:ext xmlns:c16="http://schemas.microsoft.com/office/drawing/2014/chart" uri="{C3380CC4-5D6E-409C-BE32-E72D297353CC}">
              <c16:uniqueId val="{00000000-2D63-4531-87AE-BA3A12D3EABB}"/>
            </c:ext>
          </c:extLst>
        </c:ser>
        <c:dLbls>
          <c:showLegendKey val="0"/>
          <c:showVal val="0"/>
          <c:showCatName val="0"/>
          <c:showSerName val="0"/>
          <c:showPercent val="0"/>
          <c:showBubbleSize val="0"/>
        </c:dLbls>
        <c:gapWidth val="182"/>
        <c:axId val="951225199"/>
        <c:axId val="951213679"/>
      </c:barChart>
      <c:catAx>
        <c:axId val="951225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951213679"/>
        <c:crosses val="autoZero"/>
        <c:auto val="1"/>
        <c:lblAlgn val="ctr"/>
        <c:lblOffset val="100"/>
        <c:noMultiLvlLbl val="0"/>
      </c:catAx>
      <c:valAx>
        <c:axId val="9512136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95122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rgbClr val="F0997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[HR_Analysis.xlsx]pivot_table!PivotTable11</c:name>
    <c:fmtId val="5"/>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a:t>Average</a:t>
            </a:r>
            <a:r>
              <a:rPr lang="en-US" baseline="0"/>
              <a:t> </a:t>
            </a:r>
            <a:r>
              <a:rPr lang="en-US"/>
              <a:t>Salary</a:t>
            </a:r>
            <a:r>
              <a:rPr lang="en-US" baseline="0"/>
              <a:t> By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AEC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12199911441388"/>
          <c:y val="0.17361147107324748"/>
          <c:w val="0.80917954937784364"/>
          <c:h val="0.72088764946048411"/>
        </c:manualLayout>
      </c:layout>
      <c:barChart>
        <c:barDir val="bar"/>
        <c:grouping val="clustered"/>
        <c:varyColors val="0"/>
        <c:ser>
          <c:idx val="0"/>
          <c:order val="0"/>
          <c:tx>
            <c:strRef>
              <c:f>pivot_table!$B$24</c:f>
              <c:strCache>
                <c:ptCount val="1"/>
                <c:pt idx="0">
                  <c:v>Total</c:v>
                </c:pt>
              </c:strCache>
            </c:strRef>
          </c:tx>
          <c:spPr>
            <a:solidFill>
              <a:srgbClr val="FAECE7"/>
            </a:solidFill>
            <a:ln>
              <a:noFill/>
            </a:ln>
            <a:effectLst/>
          </c:spPr>
          <c:invertIfNegative val="0"/>
          <c:cat>
            <c:strRef>
              <c:f>pivot_table!$A$25:$A$30</c:f>
              <c:strCache>
                <c:ptCount val="5"/>
                <c:pt idx="0">
                  <c:v>PhD</c:v>
                </c:pt>
                <c:pt idx="1">
                  <c:v>HND</c:v>
                </c:pt>
                <c:pt idx="2">
                  <c:v>BSc</c:v>
                </c:pt>
                <c:pt idx="3">
                  <c:v>OND</c:v>
                </c:pt>
                <c:pt idx="4">
                  <c:v>MSc</c:v>
                </c:pt>
              </c:strCache>
            </c:strRef>
          </c:cat>
          <c:val>
            <c:numRef>
              <c:f>pivot_table!$B$25:$B$30</c:f>
              <c:numCache>
                <c:formatCode>[$₦-467]\ #,\K</c:formatCode>
                <c:ptCount val="5"/>
                <c:pt idx="0">
                  <c:v>838088.40666666673</c:v>
                </c:pt>
                <c:pt idx="1">
                  <c:v>784817.82000000007</c:v>
                </c:pt>
                <c:pt idx="2">
                  <c:v>664223.81444444449</c:v>
                </c:pt>
                <c:pt idx="3">
                  <c:v>647351.79999999993</c:v>
                </c:pt>
                <c:pt idx="4">
                  <c:v>483361.70750000002</c:v>
                </c:pt>
              </c:numCache>
            </c:numRef>
          </c:val>
          <c:extLst>
            <c:ext xmlns:c16="http://schemas.microsoft.com/office/drawing/2014/chart" uri="{C3380CC4-5D6E-409C-BE32-E72D297353CC}">
              <c16:uniqueId val="{00000000-59FA-45E9-85ED-A666EA31E6F8}"/>
            </c:ext>
          </c:extLst>
        </c:ser>
        <c:dLbls>
          <c:showLegendKey val="0"/>
          <c:showVal val="0"/>
          <c:showCatName val="0"/>
          <c:showSerName val="0"/>
          <c:showPercent val="0"/>
          <c:showBubbleSize val="0"/>
        </c:dLbls>
        <c:gapWidth val="219"/>
        <c:axId val="846405775"/>
        <c:axId val="846382735"/>
      </c:barChart>
      <c:catAx>
        <c:axId val="84640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382735"/>
        <c:crosses val="autoZero"/>
        <c:auto val="1"/>
        <c:lblAlgn val="ctr"/>
        <c:lblOffset val="100"/>
        <c:noMultiLvlLbl val="0"/>
      </c:catAx>
      <c:valAx>
        <c:axId val="846382735"/>
        <c:scaling>
          <c:orientation val="minMax"/>
        </c:scaling>
        <c:delete val="0"/>
        <c:axPos val="b"/>
        <c:numFmt formatCode="[$₦-467]\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40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[HR_Analysis.xlsx]pivot_table!PivotTable1</c:name>
    <c:fmtId val="11"/>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a:t>Annual</a:t>
            </a:r>
            <a:r>
              <a:rPr lang="en-US" baseline="0"/>
              <a:t> Performance Score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ln w="28575" cap="rnd">
            <a:solidFill>
              <a:srgbClr val="FAECE7"/>
            </a:solidFill>
            <a:round/>
          </a:ln>
          <a:effectLst>
            <a:softEdge rad="0"/>
          </a:effectLst>
        </c:spPr>
        <c:marker>
          <c:symbol val="circle"/>
          <c:size val="5"/>
          <c:spPr>
            <a:noFill/>
            <a:ln w="9525">
              <a:no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AECE7"/>
            </a:solidFill>
            <a:round/>
          </a:ln>
          <a:effectLst>
            <a:softEdge rad="0"/>
          </a:effectLst>
        </c:spPr>
        <c:marker>
          <c:symbol val="circle"/>
          <c:size val="5"/>
        </c:marker>
      </c:pivotFmt>
      <c:pivotFmt>
        <c:idx val="12"/>
        <c:spPr>
          <a:ln w="28575" cap="rnd">
            <a:solidFill>
              <a:srgbClr val="FAECE7"/>
            </a:solidFill>
            <a:round/>
          </a:ln>
          <a:effectLst>
            <a:softEdge rad="0"/>
          </a:effectLst>
        </c:spPr>
        <c:marker>
          <c:symbol val="circle"/>
          <c:size val="5"/>
        </c:marker>
      </c:pivotFmt>
      <c:pivotFmt>
        <c:idx val="13"/>
        <c:spPr>
          <a:ln w="28575" cap="rnd">
            <a:solidFill>
              <a:srgbClr val="FAECE7"/>
            </a:solidFill>
            <a:round/>
          </a:ln>
          <a:effectLst>
            <a:softEdge rad="0"/>
          </a:effectLst>
        </c:spPr>
        <c:marker>
          <c:symbol val="circle"/>
          <c:size val="5"/>
        </c:marker>
      </c:pivotFmt>
      <c:pivotFmt>
        <c:idx val="14"/>
        <c:spPr>
          <a:ln w="28575" cap="rnd">
            <a:solidFill>
              <a:srgbClr val="FAECE7"/>
            </a:solidFill>
            <a:round/>
          </a:ln>
          <a:effectLst>
            <a:softEdge rad="0"/>
          </a:effectLst>
        </c:spPr>
        <c:marker>
          <c:symbol val="circle"/>
          <c:size val="5"/>
        </c:marker>
      </c:pivotFmt>
      <c:pivotFmt>
        <c:idx val="15"/>
        <c:spPr>
          <a:ln w="28575" cap="rnd">
            <a:solidFill>
              <a:srgbClr val="FAECE7"/>
            </a:solidFill>
            <a:round/>
          </a:ln>
          <a:effectLst>
            <a:softEdge rad="0"/>
          </a:effectLst>
        </c:spPr>
        <c:marker>
          <c:symbol val="circle"/>
          <c:size val="5"/>
        </c:marker>
      </c:pivotFmt>
    </c:pivotFmts>
    <c:plotArea>
      <c:layout/>
      <c:lineChart>
        <c:grouping val="standard"/>
        <c:varyColors val="0"/>
        <c:ser>
          <c:idx val="0"/>
          <c:order val="0"/>
          <c:tx>
            <c:strRef>
              <c:f>pivot_table!$L$19</c:f>
              <c:strCache>
                <c:ptCount val="1"/>
                <c:pt idx="0">
                  <c:v>Total</c:v>
                </c:pt>
              </c:strCache>
            </c:strRef>
          </c:tx>
          <c:spPr>
            <a:ln w="28575" cap="rnd">
              <a:solidFill>
                <a:srgbClr val="FAECE7"/>
              </a:solidFill>
              <a:round/>
            </a:ln>
            <a:effectLst>
              <a:softEdge rad="0"/>
            </a:effectLst>
          </c:spPr>
          <c:marker>
            <c:symbol val="circle"/>
            <c:size val="5"/>
            <c:spPr>
              <a:noFill/>
              <a:ln w="9525">
                <a:noFill/>
              </a:ln>
              <a:effectLst>
                <a:softEdge rad="0"/>
              </a:effectLst>
            </c:spPr>
          </c:marker>
          <c:dPt>
            <c:idx val="0"/>
            <c:marker>
              <c:symbol val="circle"/>
              <c:size val="5"/>
              <c:spPr>
                <a:noFill/>
                <a:ln w="9525">
                  <a:noFill/>
                </a:ln>
                <a:effectLst>
                  <a:softEdge rad="0"/>
                </a:effectLst>
              </c:spPr>
            </c:marker>
            <c:bubble3D val="0"/>
            <c:spPr>
              <a:ln w="28575" cap="rnd">
                <a:solidFill>
                  <a:srgbClr val="FAECE7"/>
                </a:solidFill>
                <a:round/>
              </a:ln>
              <a:effectLst>
                <a:softEdge rad="0"/>
              </a:effectLst>
            </c:spPr>
            <c:extLst>
              <c:ext xmlns:c16="http://schemas.microsoft.com/office/drawing/2014/chart" uri="{C3380CC4-5D6E-409C-BE32-E72D297353CC}">
                <c16:uniqueId val="{00000001-BAFA-4BAE-BE3E-C5775083F705}"/>
              </c:ext>
            </c:extLst>
          </c:dPt>
          <c:dPt>
            <c:idx val="1"/>
            <c:marker>
              <c:symbol val="circle"/>
              <c:size val="5"/>
              <c:spPr>
                <a:noFill/>
                <a:ln w="9525">
                  <a:noFill/>
                </a:ln>
                <a:effectLst>
                  <a:softEdge rad="0"/>
                </a:effectLst>
              </c:spPr>
            </c:marker>
            <c:bubble3D val="0"/>
            <c:spPr>
              <a:ln w="28575" cap="rnd">
                <a:solidFill>
                  <a:srgbClr val="FAECE7"/>
                </a:solidFill>
                <a:round/>
              </a:ln>
              <a:effectLst>
                <a:softEdge rad="0"/>
              </a:effectLst>
            </c:spPr>
            <c:extLst>
              <c:ext xmlns:c16="http://schemas.microsoft.com/office/drawing/2014/chart" uri="{C3380CC4-5D6E-409C-BE32-E72D297353CC}">
                <c16:uniqueId val="{00000003-BAFA-4BAE-BE3E-C5775083F705}"/>
              </c:ext>
            </c:extLst>
          </c:dPt>
          <c:dPt>
            <c:idx val="2"/>
            <c:marker>
              <c:symbol val="circle"/>
              <c:size val="5"/>
              <c:spPr>
                <a:noFill/>
                <a:ln w="9525">
                  <a:noFill/>
                </a:ln>
                <a:effectLst>
                  <a:softEdge rad="0"/>
                </a:effectLst>
              </c:spPr>
            </c:marker>
            <c:bubble3D val="0"/>
            <c:spPr>
              <a:ln w="28575" cap="rnd">
                <a:solidFill>
                  <a:srgbClr val="FAECE7"/>
                </a:solidFill>
                <a:round/>
              </a:ln>
              <a:effectLst>
                <a:softEdge rad="0"/>
              </a:effectLst>
            </c:spPr>
            <c:extLst>
              <c:ext xmlns:c16="http://schemas.microsoft.com/office/drawing/2014/chart" uri="{C3380CC4-5D6E-409C-BE32-E72D297353CC}">
                <c16:uniqueId val="{00000005-BAFA-4BAE-BE3E-C5775083F705}"/>
              </c:ext>
            </c:extLst>
          </c:dPt>
          <c:dPt>
            <c:idx val="3"/>
            <c:marker>
              <c:symbol val="circle"/>
              <c:size val="5"/>
              <c:spPr>
                <a:noFill/>
                <a:ln w="9525">
                  <a:noFill/>
                </a:ln>
                <a:effectLst>
                  <a:softEdge rad="0"/>
                </a:effectLst>
              </c:spPr>
            </c:marker>
            <c:bubble3D val="0"/>
            <c:spPr>
              <a:ln w="28575" cap="rnd">
                <a:solidFill>
                  <a:srgbClr val="FAECE7"/>
                </a:solidFill>
                <a:round/>
              </a:ln>
              <a:effectLst>
                <a:softEdge rad="0"/>
              </a:effectLst>
            </c:spPr>
            <c:extLst>
              <c:ext xmlns:c16="http://schemas.microsoft.com/office/drawing/2014/chart" uri="{C3380CC4-5D6E-409C-BE32-E72D297353CC}">
                <c16:uniqueId val="{00000007-BAFA-4BAE-BE3E-C5775083F705}"/>
              </c:ext>
            </c:extLst>
          </c:dPt>
          <c:dPt>
            <c:idx val="4"/>
            <c:marker>
              <c:symbol val="circle"/>
              <c:size val="5"/>
              <c:spPr>
                <a:noFill/>
                <a:ln w="9525">
                  <a:noFill/>
                </a:ln>
                <a:effectLst>
                  <a:softEdge rad="0"/>
                </a:effectLst>
              </c:spPr>
            </c:marker>
            <c:bubble3D val="0"/>
            <c:spPr>
              <a:ln w="28575" cap="rnd">
                <a:solidFill>
                  <a:srgbClr val="FAECE7"/>
                </a:solidFill>
                <a:round/>
              </a:ln>
              <a:effectLst>
                <a:softEdge rad="0"/>
              </a:effectLst>
            </c:spPr>
            <c:extLst>
              <c:ext xmlns:c16="http://schemas.microsoft.com/office/drawing/2014/chart" uri="{C3380CC4-5D6E-409C-BE32-E72D297353CC}">
                <c16:uniqueId val="{00000009-BAFA-4BAE-BE3E-C5775083F705}"/>
              </c:ext>
            </c:extLst>
          </c:dPt>
          <c:cat>
            <c:strRef>
              <c:f>pivot_table!$K$20:$K$25</c:f>
              <c:strCache>
                <c:ptCount val="5"/>
                <c:pt idx="0">
                  <c:v>2019</c:v>
                </c:pt>
                <c:pt idx="1">
                  <c:v>2020</c:v>
                </c:pt>
                <c:pt idx="2">
                  <c:v>2021</c:v>
                </c:pt>
                <c:pt idx="3">
                  <c:v>2022</c:v>
                </c:pt>
                <c:pt idx="4">
                  <c:v>2023</c:v>
                </c:pt>
              </c:strCache>
            </c:strRef>
          </c:cat>
          <c:val>
            <c:numRef>
              <c:f>pivot_table!$L$20:$L$25</c:f>
              <c:numCache>
                <c:formatCode>General</c:formatCode>
                <c:ptCount val="5"/>
                <c:pt idx="0">
                  <c:v>142</c:v>
                </c:pt>
                <c:pt idx="1">
                  <c:v>100</c:v>
                </c:pt>
                <c:pt idx="2">
                  <c:v>151</c:v>
                </c:pt>
                <c:pt idx="3">
                  <c:v>116</c:v>
                </c:pt>
                <c:pt idx="4">
                  <c:v>75</c:v>
                </c:pt>
              </c:numCache>
            </c:numRef>
          </c:val>
          <c:smooth val="0"/>
          <c:extLst>
            <c:ext xmlns:c16="http://schemas.microsoft.com/office/drawing/2014/chart" uri="{C3380CC4-5D6E-409C-BE32-E72D297353CC}">
              <c16:uniqueId val="{0000000A-BAFA-4BAE-BE3E-C5775083F705}"/>
            </c:ext>
          </c:extLst>
        </c:ser>
        <c:dLbls>
          <c:showLegendKey val="0"/>
          <c:showVal val="0"/>
          <c:showCatName val="0"/>
          <c:showSerName val="0"/>
          <c:showPercent val="0"/>
          <c:showBubbleSize val="0"/>
        </c:dLbls>
        <c:marker val="1"/>
        <c:smooth val="0"/>
        <c:axId val="846392815"/>
        <c:axId val="846402415"/>
      </c:lineChart>
      <c:catAx>
        <c:axId val="84639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402415"/>
        <c:crosses val="autoZero"/>
        <c:auto val="1"/>
        <c:lblAlgn val="ctr"/>
        <c:lblOffset val="100"/>
        <c:noMultiLvlLbl val="0"/>
      </c:catAx>
      <c:valAx>
        <c:axId val="8464024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39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[HR_Analysis.xlsx]pivot_table!PivotTable9</c:name>
    <c:fmtId val="4"/>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a:t>Average Salary</a:t>
            </a:r>
            <a:r>
              <a:rPr lang="en-US" baseline="0"/>
              <a:t> By Job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EC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pivot_table!$E$18</c:f>
              <c:strCache>
                <c:ptCount val="1"/>
                <c:pt idx="0">
                  <c:v>Total</c:v>
                </c:pt>
              </c:strCache>
            </c:strRef>
          </c:tx>
          <c:spPr>
            <a:solidFill>
              <a:srgbClr val="FAECE7"/>
            </a:solidFill>
            <a:ln>
              <a:noFill/>
            </a:ln>
            <a:effectLst/>
          </c:spPr>
          <c:invertIfNegative val="0"/>
          <c:cat>
            <c:strRef>
              <c:f>pivot_table!$D$19:$D$26</c:f>
              <c:strCache>
                <c:ptCount val="7"/>
                <c:pt idx="0">
                  <c:v>Finance</c:v>
                </c:pt>
                <c:pt idx="1">
                  <c:v>Sales</c:v>
                </c:pt>
                <c:pt idx="2">
                  <c:v>Admin</c:v>
                </c:pt>
                <c:pt idx="3">
                  <c:v>IT</c:v>
                </c:pt>
                <c:pt idx="4">
                  <c:v>Marketing</c:v>
                </c:pt>
                <c:pt idx="5">
                  <c:v>HR</c:v>
                </c:pt>
                <c:pt idx="6">
                  <c:v>Legal</c:v>
                </c:pt>
              </c:strCache>
            </c:strRef>
          </c:cat>
          <c:val>
            <c:numRef>
              <c:f>pivot_table!$E$19:$E$26</c:f>
              <c:numCache>
                <c:formatCode>[$₦-467]\ #,\K</c:formatCode>
                <c:ptCount val="7"/>
                <c:pt idx="0">
                  <c:v>468764.02500000002</c:v>
                </c:pt>
                <c:pt idx="1">
                  <c:v>496933.75</c:v>
                </c:pt>
                <c:pt idx="2">
                  <c:v>552212.23</c:v>
                </c:pt>
                <c:pt idx="3">
                  <c:v>689411.47538461536</c:v>
                </c:pt>
                <c:pt idx="4">
                  <c:v>736419.12666666659</c:v>
                </c:pt>
                <c:pt idx="5">
                  <c:v>790848.59333333327</c:v>
                </c:pt>
                <c:pt idx="6">
                  <c:v>855641.84499999997</c:v>
                </c:pt>
              </c:numCache>
            </c:numRef>
          </c:val>
          <c:extLst>
            <c:ext xmlns:c16="http://schemas.microsoft.com/office/drawing/2014/chart" uri="{C3380CC4-5D6E-409C-BE32-E72D297353CC}">
              <c16:uniqueId val="{00000000-321B-4640-AB2E-F53A384B6758}"/>
            </c:ext>
          </c:extLst>
        </c:ser>
        <c:dLbls>
          <c:showLegendKey val="0"/>
          <c:showVal val="0"/>
          <c:showCatName val="0"/>
          <c:showSerName val="0"/>
          <c:showPercent val="0"/>
          <c:showBubbleSize val="0"/>
        </c:dLbls>
        <c:gapWidth val="182"/>
        <c:axId val="846401455"/>
        <c:axId val="846384175"/>
      </c:barChart>
      <c:catAx>
        <c:axId val="84640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384175"/>
        <c:crosses val="autoZero"/>
        <c:auto val="1"/>
        <c:lblAlgn val="ctr"/>
        <c:lblOffset val="100"/>
        <c:noMultiLvlLbl val="0"/>
      </c:catAx>
      <c:valAx>
        <c:axId val="846384175"/>
        <c:scaling>
          <c:orientation val="minMax"/>
        </c:scaling>
        <c:delete val="0"/>
        <c:axPos val="l"/>
        <c:numFmt formatCode="[$₦-467]\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40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[HR_Analysis.xlsx]pivot_table!PivotTable5</c:name>
    <c:fmtId val="4"/>
  </c:pivotSource>
  <c:chart>
    <c:title>
      <c:tx>
        <c:rich>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r>
              <a:rPr lang="en-US"/>
              <a:t>Average Salary</a:t>
            </a:r>
            <a:r>
              <a:rPr lang="en-US" baseline="0"/>
              <a:t> By Job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AECE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EC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pivot_table!$B$13</c:f>
              <c:strCache>
                <c:ptCount val="1"/>
                <c:pt idx="0">
                  <c:v>Total</c:v>
                </c:pt>
              </c:strCache>
            </c:strRef>
          </c:tx>
          <c:spPr>
            <a:solidFill>
              <a:srgbClr val="FAECE7"/>
            </a:solidFill>
            <a:ln>
              <a:noFill/>
            </a:ln>
            <a:effectLst/>
          </c:spPr>
          <c:invertIfNegative val="0"/>
          <c:cat>
            <c:strRef>
              <c:f>pivot_table!$A$14:$A$22</c:f>
              <c:strCache>
                <c:ptCount val="8"/>
                <c:pt idx="0">
                  <c:v>Specialist</c:v>
                </c:pt>
                <c:pt idx="1">
                  <c:v>Coordinator</c:v>
                </c:pt>
                <c:pt idx="2">
                  <c:v>Executive</c:v>
                </c:pt>
                <c:pt idx="3">
                  <c:v>Manager</c:v>
                </c:pt>
                <c:pt idx="4">
                  <c:v>Analyst</c:v>
                </c:pt>
                <c:pt idx="5">
                  <c:v>Director</c:v>
                </c:pt>
                <c:pt idx="6">
                  <c:v>Senior Analyst</c:v>
                </c:pt>
                <c:pt idx="7">
                  <c:v>Associate</c:v>
                </c:pt>
              </c:strCache>
            </c:strRef>
          </c:cat>
          <c:val>
            <c:numRef>
              <c:f>pivot_table!$B$14:$B$22</c:f>
              <c:numCache>
                <c:formatCode>[$₦-467]\ #,\K</c:formatCode>
                <c:ptCount val="8"/>
                <c:pt idx="0">
                  <c:v>845290.25</c:v>
                </c:pt>
                <c:pt idx="1">
                  <c:v>744362.17249999999</c:v>
                </c:pt>
                <c:pt idx="2">
                  <c:v>637477.07400000002</c:v>
                </c:pt>
                <c:pt idx="3">
                  <c:v>613145.45000000007</c:v>
                </c:pt>
                <c:pt idx="4">
                  <c:v>600227.46499999997</c:v>
                </c:pt>
                <c:pt idx="5">
                  <c:v>583367.98</c:v>
                </c:pt>
                <c:pt idx="6">
                  <c:v>563990.1133333334</c:v>
                </c:pt>
                <c:pt idx="7">
                  <c:v>549020.37333333341</c:v>
                </c:pt>
              </c:numCache>
            </c:numRef>
          </c:val>
          <c:extLst>
            <c:ext xmlns:c16="http://schemas.microsoft.com/office/drawing/2014/chart" uri="{C3380CC4-5D6E-409C-BE32-E72D297353CC}">
              <c16:uniqueId val="{00000000-54E2-4560-92FC-EA5FDC9B6424}"/>
            </c:ext>
          </c:extLst>
        </c:ser>
        <c:dLbls>
          <c:showLegendKey val="0"/>
          <c:showVal val="0"/>
          <c:showCatName val="0"/>
          <c:showSerName val="0"/>
          <c:showPercent val="0"/>
          <c:showBubbleSize val="0"/>
        </c:dLbls>
        <c:gapWidth val="182"/>
        <c:axId val="846367855"/>
        <c:axId val="846368335"/>
      </c:barChart>
      <c:catAx>
        <c:axId val="84636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crossAx val="846368335"/>
        <c:crosses val="autoZero"/>
        <c:auto val="1"/>
        <c:lblAlgn val="ctr"/>
        <c:lblOffset val="100"/>
        <c:noMultiLvlLbl val="0"/>
      </c:catAx>
      <c:valAx>
        <c:axId val="846368335"/>
        <c:scaling>
          <c:orientation val="minMax"/>
          <c:max val="900000"/>
        </c:scaling>
        <c:delete val="0"/>
        <c:axPos val="l"/>
        <c:numFmt formatCode="[$₦-467]\ #,\K"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AECE7"/>
                </a:solidFill>
                <a:latin typeface="+mn-lt"/>
                <a:ea typeface="+mn-ea"/>
                <a:cs typeface="+mn-cs"/>
              </a:defRPr>
            </a:pPr>
            <a:endParaRPr lang="en-US"/>
          </a:p>
        </c:txPr>
        <c:crossAx val="84636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[HR_Analysis.xlsx]pivot_table!PivotTable15</c:name>
    <c:fmtId val="3"/>
  </c:pivotSource>
  <c:chart>
    <c:title>
      <c:tx>
        <c:rich>
          <a:bodyPr rot="0" spcFirstLastPara="1" vertOverflow="ellipsis" vert="horz" wrap="square" anchor="ctr" anchorCtr="1"/>
          <a:lstStyle/>
          <a:p>
            <a:pPr>
              <a:defRPr sz="1400" b="0" i="0" u="none" strike="noStrike" kern="1200" spc="0" baseline="0">
                <a:solidFill>
                  <a:srgbClr val="F5C4B3"/>
                </a:solidFill>
                <a:latin typeface="+mn-lt"/>
                <a:ea typeface="+mn-ea"/>
                <a:cs typeface="+mn-cs"/>
              </a:defRPr>
            </a:pPr>
            <a:r>
              <a:rPr lang="en-US"/>
              <a:t>Salary</a:t>
            </a:r>
            <a:r>
              <a:rPr lang="en-US" baseline="0"/>
              <a:t> By Age Range</a:t>
            </a:r>
            <a:endParaRPr lang="en-US"/>
          </a:p>
        </c:rich>
      </c:tx>
      <c:layout>
        <c:manualLayout>
          <c:xMode val="edge"/>
          <c:yMode val="edge"/>
          <c:x val="0.35894308943089426"/>
          <c:y val="4.69042089163315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5C4B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5C4B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3C1D">
              <a:alpha val="98824"/>
            </a:srgbClr>
          </a:solidFill>
          <a:ln w="19050">
            <a:solidFill>
              <a:schemeClr val="lt1"/>
            </a:solidFill>
          </a:ln>
          <a:effectLst/>
        </c:spPr>
      </c:pivotFmt>
      <c:pivotFmt>
        <c:idx val="8"/>
        <c:spPr>
          <a:solidFill>
            <a:srgbClr val="F5C4B3">
              <a:alpha val="98824"/>
            </a:srgb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baseline="0"/>
                  <a:t> </a:t>
                </a:r>
                <a:fld id="{B966FAD7-65D9-4FB5-9EA2-BB4250A4338B}" type="VALUE">
                  <a:rPr lang="en-US" baseline="0"/>
                  <a:pPr>
                    <a:defRPr sz="1200" b="1">
                      <a:solidFill>
                        <a:schemeClr val="bg1"/>
                      </a:solidFill>
                    </a:defRPr>
                  </a:pPr>
                  <a:t>[VALUE]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9"/>
        <c:spPr>
          <a:solidFill>
            <a:srgbClr val="F0997B">
              <a:alpha val="98039"/>
            </a:srgbClr>
          </a:solidFill>
          <a:ln w="19050">
            <a:solidFill>
              <a:schemeClr val="lt1"/>
            </a:solidFill>
          </a:ln>
          <a:effectLst/>
        </c:spPr>
      </c:pivotFmt>
      <c:pivotFmt>
        <c:idx val="10"/>
        <c:spPr>
          <a:solidFill>
            <a:srgbClr val="D85A30">
              <a:alpha val="98824"/>
            </a:srgbClr>
          </a:solidFill>
          <a:ln w="19050">
            <a:solidFill>
              <a:schemeClr val="lt1"/>
            </a:solidFill>
          </a:ln>
          <a:effectLst/>
        </c:spPr>
      </c:pivotFmt>
    </c:pivotFmts>
    <c:plotArea>
      <c:layout>
        <c:manualLayout>
          <c:layoutTarget val="inner"/>
          <c:xMode val="edge"/>
          <c:yMode val="edge"/>
          <c:x val="0.11872064664483312"/>
          <c:y val="0.25175324307483149"/>
          <c:w val="0.54123460231187914"/>
          <c:h val="0.65999471289110445"/>
        </c:manualLayout>
      </c:layout>
      <c:doughnutChart>
        <c:varyColors val="1"/>
        <c:ser>
          <c:idx val="0"/>
          <c:order val="0"/>
          <c:tx>
            <c:strRef>
              <c:f>pivot_table!$N$2</c:f>
              <c:strCache>
                <c:ptCount val="1"/>
                <c:pt idx="0">
                  <c:v>Total</c:v>
                </c:pt>
              </c:strCache>
            </c:strRef>
          </c:tx>
          <c:dPt>
            <c:idx val="0"/>
            <c:bubble3D val="0"/>
            <c:spPr>
              <a:solidFill>
                <a:srgbClr val="993C1D">
                  <a:alpha val="98824"/>
                </a:srgbClr>
              </a:solidFill>
              <a:ln w="19050">
                <a:solidFill>
                  <a:schemeClr val="lt1"/>
                </a:solidFill>
              </a:ln>
              <a:effectLst/>
            </c:spPr>
            <c:extLst>
              <c:ext xmlns:c16="http://schemas.microsoft.com/office/drawing/2014/chart" uri="{C3380CC4-5D6E-409C-BE32-E72D297353CC}">
                <c16:uniqueId val="{00000001-45B5-4EB3-B36D-2C6248506EE4}"/>
              </c:ext>
            </c:extLst>
          </c:dPt>
          <c:dPt>
            <c:idx val="1"/>
            <c:bubble3D val="0"/>
            <c:spPr>
              <a:solidFill>
                <a:srgbClr val="F5C4B3">
                  <a:alpha val="98824"/>
                </a:srgbClr>
              </a:solidFill>
              <a:ln w="19050">
                <a:solidFill>
                  <a:schemeClr val="lt1"/>
                </a:solidFill>
              </a:ln>
              <a:effectLst/>
            </c:spPr>
            <c:extLst>
              <c:ext xmlns:c16="http://schemas.microsoft.com/office/drawing/2014/chart" uri="{C3380CC4-5D6E-409C-BE32-E72D297353CC}">
                <c16:uniqueId val="{00000003-45B5-4EB3-B36D-2C6248506EE4}"/>
              </c:ext>
            </c:extLst>
          </c:dPt>
          <c:dPt>
            <c:idx val="2"/>
            <c:bubble3D val="0"/>
            <c:spPr>
              <a:solidFill>
                <a:srgbClr val="F0997B">
                  <a:alpha val="98039"/>
                </a:srgbClr>
              </a:solidFill>
              <a:ln w="19050">
                <a:solidFill>
                  <a:schemeClr val="lt1"/>
                </a:solidFill>
              </a:ln>
              <a:effectLst/>
            </c:spPr>
            <c:extLst>
              <c:ext xmlns:c16="http://schemas.microsoft.com/office/drawing/2014/chart" uri="{C3380CC4-5D6E-409C-BE32-E72D297353CC}">
                <c16:uniqueId val="{00000005-45B5-4EB3-B36D-2C6248506EE4}"/>
              </c:ext>
            </c:extLst>
          </c:dPt>
          <c:dPt>
            <c:idx val="3"/>
            <c:bubble3D val="0"/>
            <c:spPr>
              <a:solidFill>
                <a:srgbClr val="D85A30">
                  <a:alpha val="98824"/>
                </a:srgbClr>
              </a:solidFill>
              <a:ln w="19050">
                <a:solidFill>
                  <a:schemeClr val="lt1"/>
                </a:solidFill>
              </a:ln>
              <a:effectLst/>
            </c:spPr>
            <c:extLst>
              <c:ext xmlns:c16="http://schemas.microsoft.com/office/drawing/2014/chart" uri="{C3380CC4-5D6E-409C-BE32-E72D297353CC}">
                <c16:uniqueId val="{00000007-45B5-4EB3-B36D-2C6248506EE4}"/>
              </c:ext>
            </c:extLst>
          </c:dPt>
          <c:dLbls>
            <c:dLbl>
              <c:idx val="1"/>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r>
                      <a:rPr lang="en-US" baseline="0"/>
                      <a:t> </a:t>
                    </a:r>
                    <a:fld id="{B966FAD7-65D9-4FB5-9EA2-BB4250A4338B}" type="VALUE">
                      <a:rPr lang="en-US" baseline="0"/>
                      <a:pPr>
                        <a:defRPr sz="1200" b="1">
                          <a:solidFill>
                            <a:schemeClr val="bg1"/>
                          </a:solidFill>
                        </a:defRPr>
                      </a:pPr>
                      <a:t>[VALUE]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45B5-4EB3-B36D-2C6248506EE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5C4B3"/>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pivot_table!$M$3:$M$7</c:f>
              <c:strCache>
                <c:ptCount val="4"/>
                <c:pt idx="0">
                  <c:v>30-40</c:v>
                </c:pt>
                <c:pt idx="1">
                  <c:v>41-50</c:v>
                </c:pt>
                <c:pt idx="2">
                  <c:v>Above 50</c:v>
                </c:pt>
                <c:pt idx="3">
                  <c:v>Under 30</c:v>
                </c:pt>
              </c:strCache>
            </c:strRef>
          </c:cat>
          <c:val>
            <c:numRef>
              <c:f>pivot_table!$N$3:$N$7</c:f>
              <c:numCache>
                <c:formatCode>0.00%</c:formatCode>
                <c:ptCount val="4"/>
                <c:pt idx="0">
                  <c:v>0.30933796002917907</c:v>
                </c:pt>
                <c:pt idx="1">
                  <c:v>0.28891155346716191</c:v>
                </c:pt>
                <c:pt idx="2">
                  <c:v>0.22901252558750573</c:v>
                </c:pt>
                <c:pt idx="3">
                  <c:v>0.17273796091615337</c:v>
                </c:pt>
              </c:numCache>
            </c:numRef>
          </c:val>
          <c:extLst>
            <c:ext xmlns:c16="http://schemas.microsoft.com/office/drawing/2014/chart" uri="{C3380CC4-5D6E-409C-BE32-E72D297353CC}">
              <c16:uniqueId val="{00000008-45B5-4EB3-B36D-2C6248506EE4}"/>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AECE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3C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chart" Target="../charts/chart9.xml"/><Relationship Id="rId7" Type="http://schemas.openxmlformats.org/officeDocument/2006/relationships/image" Target="../media/image8.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7.png"/><Relationship Id="rId11" Type="http://schemas.openxmlformats.org/officeDocument/2006/relationships/image" Target="../media/image12.svg"/><Relationship Id="rId5" Type="http://schemas.openxmlformats.org/officeDocument/2006/relationships/chart" Target="../charts/chart11.xml"/><Relationship Id="rId10" Type="http://schemas.openxmlformats.org/officeDocument/2006/relationships/image" Target="../media/image11.png"/><Relationship Id="rId4" Type="http://schemas.openxmlformats.org/officeDocument/2006/relationships/chart" Target="../charts/chart10.xml"/><Relationship Id="rId9"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390526</xdr:colOff>
      <xdr:row>19</xdr:row>
      <xdr:rowOff>47625</xdr:rowOff>
    </xdr:from>
    <xdr:to>
      <xdr:col>8</xdr:col>
      <xdr:colOff>600076</xdr:colOff>
      <xdr:row>32</xdr:row>
      <xdr:rowOff>95250</xdr:rowOff>
    </xdr:to>
    <xdr:graphicFrame macro="">
      <xdr:nvGraphicFramePr>
        <xdr:cNvPr id="2" name="Chart 1">
          <a:extLst>
            <a:ext uri="{FF2B5EF4-FFF2-40B4-BE49-F238E27FC236}">
              <a16:creationId xmlns:a16="http://schemas.microsoft.com/office/drawing/2014/main" id="{BFD21C9C-9694-4842-A7AD-ABA45B7C5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xdr:colOff>
      <xdr:row>19</xdr:row>
      <xdr:rowOff>66675</xdr:rowOff>
    </xdr:from>
    <xdr:to>
      <xdr:col>14</xdr:col>
      <xdr:colOff>304800</xdr:colOff>
      <xdr:row>32</xdr:row>
      <xdr:rowOff>95250</xdr:rowOff>
    </xdr:to>
    <xdr:graphicFrame macro="">
      <xdr:nvGraphicFramePr>
        <xdr:cNvPr id="3" name="Chart 2">
          <a:extLst>
            <a:ext uri="{FF2B5EF4-FFF2-40B4-BE49-F238E27FC236}">
              <a16:creationId xmlns:a16="http://schemas.microsoft.com/office/drawing/2014/main" id="{434B6D7E-4CBD-452A-A3C6-AFE39737F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400050</xdr:colOff>
      <xdr:row>5</xdr:row>
      <xdr:rowOff>95251</xdr:rowOff>
    </xdr:from>
    <xdr:to>
      <xdr:col>20</xdr:col>
      <xdr:colOff>419102</xdr:colOff>
      <xdr:row>18</xdr:row>
      <xdr:rowOff>180975</xdr:rowOff>
    </xdr:to>
    <xdr:graphicFrame macro="">
      <xdr:nvGraphicFramePr>
        <xdr:cNvPr id="4" name="Chart 3">
          <a:extLst>
            <a:ext uri="{FF2B5EF4-FFF2-40B4-BE49-F238E27FC236}">
              <a16:creationId xmlns:a16="http://schemas.microsoft.com/office/drawing/2014/main" id="{F3854828-4702-428E-83C1-FD9817E92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419100</xdr:colOff>
      <xdr:row>19</xdr:row>
      <xdr:rowOff>47625</xdr:rowOff>
    </xdr:from>
    <xdr:to>
      <xdr:col>20</xdr:col>
      <xdr:colOff>438150</xdr:colOff>
      <xdr:row>32</xdr:row>
      <xdr:rowOff>114300</xdr:rowOff>
    </xdr:to>
    <xdr:graphicFrame macro="">
      <xdr:nvGraphicFramePr>
        <xdr:cNvPr id="5" name="Chart 4">
          <a:extLst>
            <a:ext uri="{FF2B5EF4-FFF2-40B4-BE49-F238E27FC236}">
              <a16:creationId xmlns:a16="http://schemas.microsoft.com/office/drawing/2014/main" id="{A99395F4-4EE7-4954-B025-365A8A795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457200</xdr:colOff>
      <xdr:row>5</xdr:row>
      <xdr:rowOff>95250</xdr:rowOff>
    </xdr:from>
    <xdr:to>
      <xdr:col>14</xdr:col>
      <xdr:colOff>266700</xdr:colOff>
      <xdr:row>19</xdr:row>
      <xdr:rowOff>19050</xdr:rowOff>
    </xdr:to>
    <xdr:graphicFrame macro="">
      <xdr:nvGraphicFramePr>
        <xdr:cNvPr id="6" name="Chart 5">
          <a:extLst>
            <a:ext uri="{FF2B5EF4-FFF2-40B4-BE49-F238E27FC236}">
              <a16:creationId xmlns:a16="http://schemas.microsoft.com/office/drawing/2014/main" id="{4D3B9B6D-06AC-473F-B3C1-245CF6F6B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419102</xdr:colOff>
      <xdr:row>5</xdr:row>
      <xdr:rowOff>104776</xdr:rowOff>
    </xdr:from>
    <xdr:to>
      <xdr:col>9</xdr:col>
      <xdr:colOff>295276</xdr:colOff>
      <xdr:row>19</xdr:row>
      <xdr:rowOff>0</xdr:rowOff>
    </xdr:to>
    <xdr:graphicFrame macro="">
      <xdr:nvGraphicFramePr>
        <xdr:cNvPr id="10" name="Chart 9">
          <a:extLst>
            <a:ext uri="{FF2B5EF4-FFF2-40B4-BE49-F238E27FC236}">
              <a16:creationId xmlns:a16="http://schemas.microsoft.com/office/drawing/2014/main" id="{1206C978-7A4F-4EB5-9D3D-D86EF411D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419099</xdr:colOff>
      <xdr:row>1</xdr:row>
      <xdr:rowOff>38100</xdr:rowOff>
    </xdr:from>
    <xdr:to>
      <xdr:col>20</xdr:col>
      <xdr:colOff>438150</xdr:colOff>
      <xdr:row>5</xdr:row>
      <xdr:rowOff>19050</xdr:rowOff>
    </xdr:to>
    <xdr:sp macro="" textlink="">
      <xdr:nvSpPr>
        <xdr:cNvPr id="11" name="TextBox 10">
          <a:extLst>
            <a:ext uri="{FF2B5EF4-FFF2-40B4-BE49-F238E27FC236}">
              <a16:creationId xmlns:a16="http://schemas.microsoft.com/office/drawing/2014/main" id="{2B2B5048-6D63-4981-B000-0F51799B030D}"/>
            </a:ext>
          </a:extLst>
        </xdr:cNvPr>
        <xdr:cNvSpPr txBox="1"/>
      </xdr:nvSpPr>
      <xdr:spPr>
        <a:xfrm>
          <a:off x="1638299" y="228600"/>
          <a:ext cx="10991851" cy="742950"/>
        </a:xfrm>
        <a:prstGeom prst="rect">
          <a:avLst/>
        </a:prstGeom>
        <a:solidFill>
          <a:srgbClr val="993C1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AECE7"/>
              </a:solidFill>
              <a:latin typeface="+mj-lt"/>
            </a:rPr>
            <a:t>HR Workforce Overview Dashboard</a:t>
          </a:r>
        </a:p>
        <a:p>
          <a:endParaRPr lang="en-US"/>
        </a:p>
        <a:p>
          <a:r>
            <a:rPr lang="en-US" sz="1400">
              <a:solidFill>
                <a:srgbClr val="FAECE7"/>
              </a:solidFill>
              <a:latin typeface="+mj-lt"/>
            </a:rPr>
            <a:t>Subtitle: </a:t>
          </a:r>
          <a:r>
            <a:rPr lang="en-US" sz="1400" i="1">
              <a:solidFill>
                <a:srgbClr val="FAECE7"/>
              </a:solidFill>
              <a:latin typeface="+mj-lt"/>
            </a:rPr>
            <a:t>Employee headcount, demographics and hiring trends  2019 to 2024</a:t>
          </a:r>
          <a:endParaRPr lang="en-US" sz="1400">
            <a:solidFill>
              <a:srgbClr val="FAECE7"/>
            </a:solidFill>
            <a:latin typeface="+mj-lt"/>
          </a:endParaRPr>
        </a:p>
        <a:p>
          <a:endParaRPr lang="en-US" sz="1100"/>
        </a:p>
      </xdr:txBody>
    </xdr:sp>
    <xdr:clientData/>
  </xdr:twoCellAnchor>
  <xdr:twoCellAnchor>
    <xdr:from>
      <xdr:col>0</xdr:col>
      <xdr:colOff>85725</xdr:colOff>
      <xdr:row>0</xdr:row>
      <xdr:rowOff>180974</xdr:rowOff>
    </xdr:from>
    <xdr:to>
      <xdr:col>2</xdr:col>
      <xdr:colOff>352425</xdr:colOff>
      <xdr:row>32</xdr:row>
      <xdr:rowOff>133349</xdr:rowOff>
    </xdr:to>
    <xdr:sp macro="" textlink="">
      <xdr:nvSpPr>
        <xdr:cNvPr id="12" name="TextBox 11">
          <a:extLst>
            <a:ext uri="{FF2B5EF4-FFF2-40B4-BE49-F238E27FC236}">
              <a16:creationId xmlns:a16="http://schemas.microsoft.com/office/drawing/2014/main" id="{613798A7-2ED9-472C-91C2-98B8EBE9AA14}"/>
            </a:ext>
          </a:extLst>
        </xdr:cNvPr>
        <xdr:cNvSpPr txBox="1"/>
      </xdr:nvSpPr>
      <xdr:spPr>
        <a:xfrm>
          <a:off x="85725" y="180974"/>
          <a:ext cx="1485900" cy="6048375"/>
        </a:xfrm>
        <a:prstGeom prst="rect">
          <a:avLst/>
        </a:prstGeom>
        <a:solidFill>
          <a:srgbClr val="993C1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123826</xdr:colOff>
      <xdr:row>13</xdr:row>
      <xdr:rowOff>123824</xdr:rowOff>
    </xdr:from>
    <xdr:to>
      <xdr:col>2</xdr:col>
      <xdr:colOff>295276</xdr:colOff>
      <xdr:row>17</xdr:row>
      <xdr:rowOff>76200</xdr:rowOff>
    </xdr:to>
    <xdr:sp macro="" textlink="">
      <xdr:nvSpPr>
        <xdr:cNvPr id="13" name="Rectangle 12">
          <a:extLst>
            <a:ext uri="{FF2B5EF4-FFF2-40B4-BE49-F238E27FC236}">
              <a16:creationId xmlns:a16="http://schemas.microsoft.com/office/drawing/2014/main" id="{CFBF8BA9-4E0F-40D8-ADC8-C9E8BE014FB5}"/>
            </a:ext>
          </a:extLst>
        </xdr:cNvPr>
        <xdr:cNvSpPr/>
      </xdr:nvSpPr>
      <xdr:spPr>
        <a:xfrm>
          <a:off x="123826" y="2600324"/>
          <a:ext cx="1390650" cy="714376"/>
        </a:xfrm>
        <a:prstGeom prst="rect">
          <a:avLst/>
        </a:prstGeom>
        <a:solidFill>
          <a:srgbClr val="FAECE7"/>
        </a:solidFill>
        <a:ln>
          <a:solidFill>
            <a:srgbClr val="F5C4B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rgbClr val="993C1D"/>
              </a:solidFill>
              <a:latin typeface="+mj-lt"/>
            </a:rPr>
            <a:t>Average Tenure</a:t>
          </a:r>
          <a:endParaRPr lang="en-US" sz="1100" baseline="0">
            <a:solidFill>
              <a:srgbClr val="993C1D"/>
            </a:solidFill>
          </a:endParaRPr>
        </a:p>
        <a:p>
          <a:pPr algn="l"/>
          <a:r>
            <a:rPr lang="en-US" sz="1100" b="0" i="0" u="none" strike="noStrike" baseline="0">
              <a:solidFill>
                <a:srgbClr val="993C1D"/>
              </a:solidFill>
              <a:effectLst/>
              <a:latin typeface="+mn-lt"/>
              <a:ea typeface="+mn-ea"/>
              <a:cs typeface="+mn-cs"/>
            </a:rPr>
            <a:t>        </a:t>
          </a:r>
          <a:r>
            <a:rPr lang="en-US" sz="2400" b="1">
              <a:solidFill>
                <a:srgbClr val="993C1D"/>
              </a:solidFill>
              <a:effectLst/>
              <a:latin typeface="Impact" panose="020B0806030902050204" pitchFamily="34" charset="0"/>
            </a:rPr>
            <a:t> </a:t>
          </a:r>
          <a:r>
            <a:rPr lang="en-US" sz="2400" b="0" i="0" u="none" strike="noStrike">
              <a:solidFill>
                <a:srgbClr val="993C1D"/>
              </a:solidFill>
              <a:effectLst/>
              <a:latin typeface="Impact" panose="020B0806030902050204" pitchFamily="34" charset="0"/>
              <a:ea typeface="+mn-ea"/>
              <a:cs typeface="+mn-cs"/>
            </a:rPr>
            <a:t>4.1</a:t>
          </a:r>
          <a:r>
            <a:rPr lang="en-US" sz="2400">
              <a:solidFill>
                <a:srgbClr val="993C1D"/>
              </a:solidFill>
              <a:effectLst/>
              <a:latin typeface="Impact" panose="020B0806030902050204" pitchFamily="34" charset="0"/>
            </a:rPr>
            <a:t> </a:t>
          </a:r>
          <a:r>
            <a:rPr lang="en-US" sz="1200" b="1">
              <a:solidFill>
                <a:srgbClr val="993C1D"/>
              </a:solidFill>
              <a:effectLst/>
              <a:latin typeface="+mj-lt"/>
            </a:rPr>
            <a:t>Years</a:t>
          </a:r>
          <a:endParaRPr lang="en-US" sz="1200" b="1">
            <a:solidFill>
              <a:srgbClr val="993C1D"/>
            </a:solidFill>
            <a:latin typeface="+mj-lt"/>
          </a:endParaRPr>
        </a:p>
      </xdr:txBody>
    </xdr:sp>
    <xdr:clientData/>
  </xdr:twoCellAnchor>
  <xdr:twoCellAnchor>
    <xdr:from>
      <xdr:col>0</xdr:col>
      <xdr:colOff>142875</xdr:colOff>
      <xdr:row>8</xdr:row>
      <xdr:rowOff>47624</xdr:rowOff>
    </xdr:from>
    <xdr:to>
      <xdr:col>2</xdr:col>
      <xdr:colOff>295275</xdr:colOff>
      <xdr:row>12</xdr:row>
      <xdr:rowOff>28575</xdr:rowOff>
    </xdr:to>
    <xdr:sp macro="" textlink="">
      <xdr:nvSpPr>
        <xdr:cNvPr id="14" name="Rectangle 13">
          <a:extLst>
            <a:ext uri="{FF2B5EF4-FFF2-40B4-BE49-F238E27FC236}">
              <a16:creationId xmlns:a16="http://schemas.microsoft.com/office/drawing/2014/main" id="{91FBE232-5D85-4B4F-9DE0-DDC34747DD14}"/>
            </a:ext>
          </a:extLst>
        </xdr:cNvPr>
        <xdr:cNvSpPr/>
      </xdr:nvSpPr>
      <xdr:spPr>
        <a:xfrm>
          <a:off x="142875" y="1571624"/>
          <a:ext cx="1371600" cy="742951"/>
        </a:xfrm>
        <a:prstGeom prst="rect">
          <a:avLst/>
        </a:prstGeom>
        <a:solidFill>
          <a:srgbClr val="FAECE7"/>
        </a:solidFill>
        <a:ln>
          <a:solidFill>
            <a:srgbClr val="F5C4B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rgbClr val="993C1D"/>
              </a:solidFill>
              <a:latin typeface="+mj-lt"/>
            </a:rPr>
            <a:t>Active Employees</a:t>
          </a:r>
        </a:p>
        <a:p>
          <a:pPr algn="l"/>
          <a:r>
            <a:rPr lang="en-US" sz="1100" b="0" i="0" u="none" strike="noStrike">
              <a:solidFill>
                <a:srgbClr val="993C1D"/>
              </a:solidFill>
              <a:effectLst/>
              <a:latin typeface="+mn-lt"/>
              <a:ea typeface="+mn-ea"/>
              <a:cs typeface="+mn-cs"/>
            </a:rPr>
            <a:t>119</a:t>
          </a:r>
          <a:r>
            <a:rPr lang="en-US" sz="2000">
              <a:solidFill>
                <a:srgbClr val="993C1D"/>
              </a:solidFill>
              <a:effectLst/>
            </a:rPr>
            <a:t> </a:t>
          </a:r>
          <a:r>
            <a:rPr lang="en-US" sz="2000" baseline="0">
              <a:solidFill>
                <a:srgbClr val="993C1D"/>
              </a:solidFill>
              <a:effectLst/>
            </a:rPr>
            <a:t>  </a:t>
          </a:r>
          <a:r>
            <a:rPr lang="en-US" sz="2400" b="1" i="0" u="none" strike="noStrike">
              <a:solidFill>
                <a:srgbClr val="993C1D"/>
              </a:solidFill>
              <a:effectLst/>
              <a:latin typeface="Impact" panose="020B0806030902050204" pitchFamily="34" charset="0"/>
              <a:ea typeface="+mn-ea"/>
              <a:cs typeface="+mn-cs"/>
            </a:rPr>
            <a:t>119</a:t>
          </a:r>
          <a:r>
            <a:rPr lang="en-US" sz="2000" b="1">
              <a:solidFill>
                <a:srgbClr val="993C1D"/>
              </a:solidFill>
              <a:effectLst/>
              <a:latin typeface="Impact" panose="020B0806030902050204" pitchFamily="34" charset="0"/>
            </a:rPr>
            <a:t> </a:t>
          </a:r>
          <a:endParaRPr lang="en-US" sz="2000" b="1" baseline="0">
            <a:solidFill>
              <a:srgbClr val="993C1D"/>
            </a:solidFill>
            <a:latin typeface="Impact" panose="020B0806030902050204" pitchFamily="34" charset="0"/>
          </a:endParaRPr>
        </a:p>
        <a:p>
          <a:pPr algn="l"/>
          <a:endParaRPr lang="en-US" sz="1100" baseline="0">
            <a:solidFill>
              <a:sysClr val="windowText" lastClr="000000"/>
            </a:solidFill>
          </a:endParaRPr>
        </a:p>
      </xdr:txBody>
    </xdr:sp>
    <xdr:clientData/>
  </xdr:twoCellAnchor>
  <xdr:twoCellAnchor>
    <xdr:from>
      <xdr:col>0</xdr:col>
      <xdr:colOff>133351</xdr:colOff>
      <xdr:row>19</xdr:row>
      <xdr:rowOff>9524</xdr:rowOff>
    </xdr:from>
    <xdr:to>
      <xdr:col>2</xdr:col>
      <xdr:colOff>314325</xdr:colOff>
      <xdr:row>22</xdr:row>
      <xdr:rowOff>171450</xdr:rowOff>
    </xdr:to>
    <xdr:sp macro="" textlink="">
      <xdr:nvSpPr>
        <xdr:cNvPr id="15" name="Rectangle 14">
          <a:extLst>
            <a:ext uri="{FF2B5EF4-FFF2-40B4-BE49-F238E27FC236}">
              <a16:creationId xmlns:a16="http://schemas.microsoft.com/office/drawing/2014/main" id="{D4A67241-C0D6-495D-898B-4CB5282175FD}"/>
            </a:ext>
          </a:extLst>
        </xdr:cNvPr>
        <xdr:cNvSpPr/>
      </xdr:nvSpPr>
      <xdr:spPr>
        <a:xfrm>
          <a:off x="133351" y="3629024"/>
          <a:ext cx="1400174" cy="733426"/>
        </a:xfrm>
        <a:prstGeom prst="rect">
          <a:avLst/>
        </a:prstGeom>
        <a:solidFill>
          <a:srgbClr val="FAECE7"/>
        </a:solidFill>
        <a:ln>
          <a:solidFill>
            <a:srgbClr val="F5C4B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993C1D"/>
              </a:solidFill>
              <a:latin typeface="+mj-lt"/>
            </a:rPr>
            <a:t>Total</a:t>
          </a:r>
          <a:r>
            <a:rPr lang="en-US" sz="1100" b="1" baseline="0">
              <a:solidFill>
                <a:srgbClr val="993C1D"/>
              </a:solidFill>
              <a:latin typeface="+mj-lt"/>
            </a:rPr>
            <a:t> employee</a:t>
          </a:r>
          <a:r>
            <a:rPr lang="en-US" sz="1100" baseline="0">
              <a:solidFill>
                <a:srgbClr val="993C1D"/>
              </a:solidFill>
            </a:rPr>
            <a:t> </a:t>
          </a:r>
        </a:p>
        <a:p>
          <a:pPr algn="l"/>
          <a:r>
            <a:rPr lang="en-US" sz="1100" b="0" i="0" u="none" strike="noStrike" baseline="0">
              <a:solidFill>
                <a:srgbClr val="993C1D"/>
              </a:solidFill>
              <a:effectLst/>
              <a:latin typeface="+mn-lt"/>
              <a:ea typeface="+mn-ea"/>
              <a:cs typeface="+mn-cs"/>
            </a:rPr>
            <a:t>        </a:t>
          </a:r>
          <a:r>
            <a:rPr lang="en-US" sz="1600" b="1">
              <a:solidFill>
                <a:srgbClr val="993C1D"/>
              </a:solidFill>
              <a:effectLst/>
              <a:latin typeface="Arial Black" panose="020B0A04020102020204" pitchFamily="34" charset="0"/>
            </a:rPr>
            <a:t> </a:t>
          </a:r>
          <a:r>
            <a:rPr lang="en-US" sz="2400" b="1" i="0" u="none" strike="noStrike">
              <a:solidFill>
                <a:srgbClr val="993C1D"/>
              </a:solidFill>
              <a:effectLst/>
              <a:latin typeface="Impact" panose="020B0806030902050204" pitchFamily="34" charset="0"/>
              <a:ea typeface="+mn-ea"/>
              <a:cs typeface="+mn-cs"/>
            </a:rPr>
            <a:t>200</a:t>
          </a:r>
          <a:endParaRPr lang="en-US" sz="2400" b="1">
            <a:solidFill>
              <a:srgbClr val="993C1D"/>
            </a:solidFill>
            <a:latin typeface="Impact" panose="020B0806030902050204" pitchFamily="34" charset="0"/>
          </a:endParaRPr>
        </a:p>
      </xdr:txBody>
    </xdr:sp>
    <xdr:clientData/>
  </xdr:twoCellAnchor>
  <xdr:twoCellAnchor editAs="oneCell">
    <xdr:from>
      <xdr:col>14</xdr:col>
      <xdr:colOff>28575</xdr:colOff>
      <xdr:row>1</xdr:row>
      <xdr:rowOff>123825</xdr:rowOff>
    </xdr:from>
    <xdr:to>
      <xdr:col>17</xdr:col>
      <xdr:colOff>28575</xdr:colOff>
      <xdr:row>4</xdr:row>
      <xdr:rowOff>142875</xdr:rowOff>
    </xdr:to>
    <mc:AlternateContent xmlns:mc="http://schemas.openxmlformats.org/markup-compatibility/2006" xmlns:a14="http://schemas.microsoft.com/office/drawing/2010/main">
      <mc:Choice Requires="a14">
        <xdr:graphicFrame macro="">
          <xdr:nvGraphicFramePr>
            <xdr:cNvPr id="7" name="Age_Group">
              <a:extLst>
                <a:ext uri="{FF2B5EF4-FFF2-40B4-BE49-F238E27FC236}">
                  <a16:creationId xmlns:a16="http://schemas.microsoft.com/office/drawing/2014/main" id="{AA64B9F0-107C-78E6-F96E-031240146AE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8562975" y="314325"/>
              <a:ext cx="18288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161925</xdr:colOff>
      <xdr:row>1</xdr:row>
      <xdr:rowOff>85725</xdr:rowOff>
    </xdr:from>
    <xdr:to>
      <xdr:col>20</xdr:col>
      <xdr:colOff>344805</xdr:colOff>
      <xdr:row>4</xdr:row>
      <xdr:rowOff>114300</xdr:rowOff>
    </xdr:to>
    <mc:AlternateContent xmlns:mc="http://schemas.openxmlformats.org/markup-compatibility/2006" xmlns:a14="http://schemas.microsoft.com/office/drawing/2010/main">
      <mc:Choice Requires="a14">
        <xdr:graphicFrame macro="">
          <xdr:nvGraphicFramePr>
            <xdr:cNvPr id="8" name="Employment_Status">
              <a:extLst>
                <a:ext uri="{FF2B5EF4-FFF2-40B4-BE49-F238E27FC236}">
                  <a16:creationId xmlns:a16="http://schemas.microsoft.com/office/drawing/2014/main" id="{63AFBA9E-FC26-C1A8-BA8C-8913FC4EABFA}"/>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10525125" y="276225"/>
              <a:ext cx="2011680"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9</xdr:row>
      <xdr:rowOff>171450</xdr:rowOff>
    </xdr:from>
    <xdr:to>
      <xdr:col>1</xdr:col>
      <xdr:colOff>123824</xdr:colOff>
      <xdr:row>12</xdr:row>
      <xdr:rowOff>76200</xdr:rowOff>
    </xdr:to>
    <xdr:pic>
      <xdr:nvPicPr>
        <xdr:cNvPr id="16" name="Graphic 15" descr="Employee badge">
          <a:extLst>
            <a:ext uri="{FF2B5EF4-FFF2-40B4-BE49-F238E27FC236}">
              <a16:creationId xmlns:a16="http://schemas.microsoft.com/office/drawing/2014/main" id="{6E70152D-754D-70C6-02B7-6B0B94D6BE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4299" y="1885950"/>
          <a:ext cx="619125" cy="476250"/>
        </a:xfrm>
        <a:prstGeom prst="rect">
          <a:avLst/>
        </a:prstGeom>
      </xdr:spPr>
    </xdr:pic>
    <xdr:clientData/>
  </xdr:twoCellAnchor>
  <xdr:twoCellAnchor editAs="oneCell">
    <xdr:from>
      <xdr:col>1</xdr:col>
      <xdr:colOff>416700</xdr:colOff>
      <xdr:row>20</xdr:row>
      <xdr:rowOff>123824</xdr:rowOff>
    </xdr:from>
    <xdr:to>
      <xdr:col>2</xdr:col>
      <xdr:colOff>304800</xdr:colOff>
      <xdr:row>23</xdr:row>
      <xdr:rowOff>28575</xdr:rowOff>
    </xdr:to>
    <xdr:pic>
      <xdr:nvPicPr>
        <xdr:cNvPr id="18" name="Graphic 17" descr="Meeting">
          <a:extLst>
            <a:ext uri="{FF2B5EF4-FFF2-40B4-BE49-F238E27FC236}">
              <a16:creationId xmlns:a16="http://schemas.microsoft.com/office/drawing/2014/main" id="{9330101F-A644-1FB7-7998-E08B30135E6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26300" y="3933824"/>
          <a:ext cx="497700" cy="476251"/>
        </a:xfrm>
        <a:prstGeom prst="rect">
          <a:avLst/>
        </a:prstGeom>
      </xdr:spPr>
    </xdr:pic>
    <xdr:clientData/>
  </xdr:twoCellAnchor>
  <xdr:twoCellAnchor editAs="oneCell">
    <xdr:from>
      <xdr:col>0</xdr:col>
      <xdr:colOff>114300</xdr:colOff>
      <xdr:row>15</xdr:row>
      <xdr:rowOff>19050</xdr:rowOff>
    </xdr:from>
    <xdr:to>
      <xdr:col>1</xdr:col>
      <xdr:colOff>0</xdr:colOff>
      <xdr:row>17</xdr:row>
      <xdr:rowOff>109500</xdr:rowOff>
    </xdr:to>
    <xdr:pic>
      <xdr:nvPicPr>
        <xdr:cNvPr id="20" name="Graphic 19" descr="Bar chart">
          <a:extLst>
            <a:ext uri="{FF2B5EF4-FFF2-40B4-BE49-F238E27FC236}">
              <a16:creationId xmlns:a16="http://schemas.microsoft.com/office/drawing/2014/main" id="{65D308A4-690F-DF7B-6058-9DC361661BC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4300" y="2876550"/>
          <a:ext cx="495300" cy="471450"/>
        </a:xfrm>
        <a:prstGeom prst="rect">
          <a:avLst/>
        </a:prstGeom>
      </xdr:spPr>
    </xdr:pic>
    <xdr:clientData/>
  </xdr:twoCellAnchor>
  <xdr:twoCellAnchor editAs="oneCell">
    <xdr:from>
      <xdr:col>0</xdr:col>
      <xdr:colOff>161926</xdr:colOff>
      <xdr:row>1</xdr:row>
      <xdr:rowOff>66675</xdr:rowOff>
    </xdr:from>
    <xdr:to>
      <xdr:col>2</xdr:col>
      <xdr:colOff>257175</xdr:colOff>
      <xdr:row>5</xdr:row>
      <xdr:rowOff>85725</xdr:rowOff>
    </xdr:to>
    <mc:AlternateContent xmlns:mc="http://schemas.openxmlformats.org/markup-compatibility/2006" xmlns:a14="http://schemas.microsoft.com/office/drawing/2010/main">
      <mc:Choice Requires="a14">
        <xdr:graphicFrame macro="">
          <xdr:nvGraphicFramePr>
            <xdr:cNvPr id="21" name="Hire_year">
              <a:extLst>
                <a:ext uri="{FF2B5EF4-FFF2-40B4-BE49-F238E27FC236}">
                  <a16:creationId xmlns:a16="http://schemas.microsoft.com/office/drawing/2014/main" id="{B0E1F37B-49F4-FC74-3A5B-B9A68C538AAB}"/>
                </a:ext>
              </a:extLst>
            </xdr:cNvPr>
            <xdr:cNvGraphicFramePr/>
          </xdr:nvGraphicFramePr>
          <xdr:xfrm>
            <a:off x="0" y="0"/>
            <a:ext cx="0" cy="0"/>
          </xdr:xfrm>
          <a:graphic>
            <a:graphicData uri="http://schemas.microsoft.com/office/drawing/2010/slicer">
              <sle:slicer xmlns:sle="http://schemas.microsoft.com/office/drawing/2010/slicer" name="Hire_year"/>
            </a:graphicData>
          </a:graphic>
        </xdr:graphicFrame>
      </mc:Choice>
      <mc:Fallback xmlns="">
        <xdr:sp macro="" textlink="">
          <xdr:nvSpPr>
            <xdr:cNvPr id="0" name=""/>
            <xdr:cNvSpPr>
              <a:spLocks noTextEdit="1"/>
            </xdr:cNvSpPr>
          </xdr:nvSpPr>
          <xdr:spPr>
            <a:xfrm>
              <a:off x="161926" y="257175"/>
              <a:ext cx="1314449" cy="78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66675</xdr:colOff>
      <xdr:row>18</xdr:row>
      <xdr:rowOff>133350</xdr:rowOff>
    </xdr:from>
    <xdr:to>
      <xdr:col>20</xdr:col>
      <xdr:colOff>304800</xdr:colOff>
      <xdr:row>32</xdr:row>
      <xdr:rowOff>171449</xdr:rowOff>
    </xdr:to>
    <xdr:graphicFrame macro="">
      <xdr:nvGraphicFramePr>
        <xdr:cNvPr id="6" name="Chart 5">
          <a:extLst>
            <a:ext uri="{FF2B5EF4-FFF2-40B4-BE49-F238E27FC236}">
              <a16:creationId xmlns:a16="http://schemas.microsoft.com/office/drawing/2014/main" id="{ABDBF583-618E-4A0F-BCEE-03E832068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495300</xdr:colOff>
      <xdr:row>4</xdr:row>
      <xdr:rowOff>180976</xdr:rowOff>
    </xdr:from>
    <xdr:to>
      <xdr:col>20</xdr:col>
      <xdr:colOff>361953</xdr:colOff>
      <xdr:row>18</xdr:row>
      <xdr:rowOff>114300</xdr:rowOff>
    </xdr:to>
    <xdr:graphicFrame macro="">
      <xdr:nvGraphicFramePr>
        <xdr:cNvPr id="7" name="Chart 6">
          <a:extLst>
            <a:ext uri="{FF2B5EF4-FFF2-40B4-BE49-F238E27FC236}">
              <a16:creationId xmlns:a16="http://schemas.microsoft.com/office/drawing/2014/main" id="{0BEB0D26-E94B-4979-AD02-3926CFCC6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4</xdr:row>
      <xdr:rowOff>171450</xdr:rowOff>
    </xdr:from>
    <xdr:to>
      <xdr:col>10</xdr:col>
      <xdr:colOff>180975</xdr:colOff>
      <xdr:row>18</xdr:row>
      <xdr:rowOff>104775</xdr:rowOff>
    </xdr:to>
    <xdr:graphicFrame macro="">
      <xdr:nvGraphicFramePr>
        <xdr:cNvPr id="8" name="Chart 7">
          <a:extLst>
            <a:ext uri="{FF2B5EF4-FFF2-40B4-BE49-F238E27FC236}">
              <a16:creationId xmlns:a16="http://schemas.microsoft.com/office/drawing/2014/main" id="{6F354463-7630-4B60-9542-5A1AD26FC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295274</xdr:colOff>
      <xdr:row>18</xdr:row>
      <xdr:rowOff>171449</xdr:rowOff>
    </xdr:from>
    <xdr:to>
      <xdr:col>8</xdr:col>
      <xdr:colOff>333375</xdr:colOff>
      <xdr:row>32</xdr:row>
      <xdr:rowOff>142874</xdr:rowOff>
    </xdr:to>
    <xdr:graphicFrame macro="">
      <xdr:nvGraphicFramePr>
        <xdr:cNvPr id="9" name="Chart 8">
          <a:extLst>
            <a:ext uri="{FF2B5EF4-FFF2-40B4-BE49-F238E27FC236}">
              <a16:creationId xmlns:a16="http://schemas.microsoft.com/office/drawing/2014/main" id="{439E15ED-EBBA-4392-8187-CF3F56BE0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409574</xdr:colOff>
      <xdr:row>18</xdr:row>
      <xdr:rowOff>180975</xdr:rowOff>
    </xdr:from>
    <xdr:to>
      <xdr:col>13</xdr:col>
      <xdr:colOff>590549</xdr:colOff>
      <xdr:row>32</xdr:row>
      <xdr:rowOff>161925</xdr:rowOff>
    </xdr:to>
    <xdr:graphicFrame macro="">
      <xdr:nvGraphicFramePr>
        <xdr:cNvPr id="10" name="Chart 9">
          <a:extLst>
            <a:ext uri="{FF2B5EF4-FFF2-40B4-BE49-F238E27FC236}">
              <a16:creationId xmlns:a16="http://schemas.microsoft.com/office/drawing/2014/main" id="{323F59C7-8A30-4B0F-9367-C801052A8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314325</xdr:colOff>
      <xdr:row>0</xdr:row>
      <xdr:rowOff>104775</xdr:rowOff>
    </xdr:from>
    <xdr:to>
      <xdr:col>20</xdr:col>
      <xdr:colOff>390526</xdr:colOff>
      <xdr:row>4</xdr:row>
      <xdr:rowOff>95250</xdr:rowOff>
    </xdr:to>
    <xdr:sp macro="" textlink="">
      <xdr:nvSpPr>
        <xdr:cNvPr id="11" name="Rectangle 10">
          <a:extLst>
            <a:ext uri="{FF2B5EF4-FFF2-40B4-BE49-F238E27FC236}">
              <a16:creationId xmlns:a16="http://schemas.microsoft.com/office/drawing/2014/main" id="{65A3B9CB-95ED-51C7-CC4D-84A7E8938928}"/>
            </a:ext>
          </a:extLst>
        </xdr:cNvPr>
        <xdr:cNvSpPr/>
      </xdr:nvSpPr>
      <xdr:spPr>
        <a:xfrm>
          <a:off x="1733550" y="104775"/>
          <a:ext cx="11068051" cy="752475"/>
        </a:xfrm>
        <a:prstGeom prst="rect">
          <a:avLst/>
        </a:prstGeom>
        <a:solidFill>
          <a:srgbClr val="993C1D"/>
        </a:solidFill>
        <a:ln>
          <a:solidFill>
            <a:srgbClr val="F0997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latin typeface="+mj-lt"/>
            </a:rPr>
            <a:t>HR Performance &amp; Compensation Dashboard</a:t>
          </a:r>
        </a:p>
        <a:p>
          <a:endParaRPr lang="en-US" sz="1200"/>
        </a:p>
        <a:p>
          <a:r>
            <a:rPr lang="en-US" sz="1200" b="1">
              <a:solidFill>
                <a:srgbClr val="FAECE7"/>
              </a:solidFill>
              <a:latin typeface="+mj-lt"/>
            </a:rPr>
            <a:t>Subtitle: </a:t>
          </a:r>
          <a:r>
            <a:rPr lang="en-US" sz="1200" b="1" i="1">
              <a:solidFill>
                <a:srgbClr val="FAECE7"/>
              </a:solidFill>
              <a:latin typeface="+mj-lt"/>
            </a:rPr>
            <a:t>Salary analysis, performance scores and attrition insights</a:t>
          </a:r>
          <a:endParaRPr lang="en-US" sz="1200" b="1">
            <a:solidFill>
              <a:srgbClr val="FAECE7"/>
            </a:solidFill>
            <a:latin typeface="+mj-lt"/>
          </a:endParaRPr>
        </a:p>
        <a:p>
          <a:endParaRPr lang="en-US" sz="1200" b="1">
            <a:latin typeface="+mj-lt"/>
          </a:endParaRPr>
        </a:p>
        <a:p>
          <a:pPr algn="l"/>
          <a:endParaRPr lang="en-US" sz="1100"/>
        </a:p>
      </xdr:txBody>
    </xdr:sp>
    <xdr:clientData/>
  </xdr:twoCellAnchor>
  <xdr:oneCellAnchor>
    <xdr:from>
      <xdr:col>0</xdr:col>
      <xdr:colOff>152401</xdr:colOff>
      <xdr:row>0</xdr:row>
      <xdr:rowOff>95250</xdr:rowOff>
    </xdr:from>
    <xdr:ext cx="1476374" cy="6162675"/>
    <xdr:sp macro="" textlink="">
      <xdr:nvSpPr>
        <xdr:cNvPr id="13" name="TextBox 12">
          <a:extLst>
            <a:ext uri="{FF2B5EF4-FFF2-40B4-BE49-F238E27FC236}">
              <a16:creationId xmlns:a16="http://schemas.microsoft.com/office/drawing/2014/main" id="{963A9F71-407E-C7D0-C786-5029DB14BB4C}"/>
            </a:ext>
          </a:extLst>
        </xdr:cNvPr>
        <xdr:cNvSpPr txBox="1"/>
      </xdr:nvSpPr>
      <xdr:spPr>
        <a:xfrm>
          <a:off x="152401" y="95250"/>
          <a:ext cx="1476374" cy="6162675"/>
        </a:xfrm>
        <a:prstGeom prst="rect">
          <a:avLst/>
        </a:prstGeom>
        <a:solidFill>
          <a:srgbClr val="993C1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0</xdr:col>
      <xdr:colOff>219075</xdr:colOff>
      <xdr:row>10</xdr:row>
      <xdr:rowOff>38101</xdr:rowOff>
    </xdr:from>
    <xdr:to>
      <xdr:col>2</xdr:col>
      <xdr:colOff>133350</xdr:colOff>
      <xdr:row>14</xdr:row>
      <xdr:rowOff>76201</xdr:rowOff>
    </xdr:to>
    <xdr:sp macro="" textlink="">
      <xdr:nvSpPr>
        <xdr:cNvPr id="15" name="Rectangle 14">
          <a:extLst>
            <a:ext uri="{FF2B5EF4-FFF2-40B4-BE49-F238E27FC236}">
              <a16:creationId xmlns:a16="http://schemas.microsoft.com/office/drawing/2014/main" id="{A3DFD476-53D6-47ED-A26C-7410BA9C3AF9}"/>
            </a:ext>
          </a:extLst>
        </xdr:cNvPr>
        <xdr:cNvSpPr/>
      </xdr:nvSpPr>
      <xdr:spPr>
        <a:xfrm>
          <a:off x="219075" y="1943101"/>
          <a:ext cx="1333500" cy="800100"/>
        </a:xfrm>
        <a:prstGeom prst="rect">
          <a:avLst/>
        </a:prstGeom>
        <a:solidFill>
          <a:srgbClr val="FAECE7"/>
        </a:solidFill>
        <a:ln>
          <a:solidFill>
            <a:srgbClr val="F0997B"/>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solidFill>
                <a:srgbClr val="993C1D"/>
              </a:solidFill>
              <a:latin typeface="+mj-lt"/>
            </a:rPr>
            <a:t>Average salary</a:t>
          </a:r>
        </a:p>
        <a:p>
          <a:pPr algn="l"/>
          <a:endParaRPr lang="en-US" sz="1100" b="0" i="0" u="none" strike="noStrike">
            <a:solidFill>
              <a:srgbClr val="993C1D"/>
            </a:solidFill>
            <a:effectLst/>
            <a:latin typeface="+mn-lt"/>
            <a:ea typeface="+mn-ea"/>
            <a:cs typeface="+mn-cs"/>
          </a:endParaRPr>
        </a:p>
        <a:p>
          <a:pPr algn="l"/>
          <a:r>
            <a:rPr lang="en-US" sz="2000" b="0" i="0" u="none" strike="noStrike">
              <a:solidFill>
                <a:srgbClr val="993C1D"/>
              </a:solidFill>
              <a:effectLst/>
              <a:latin typeface="Impact" panose="020B0806030902050204" pitchFamily="34" charset="0"/>
              <a:ea typeface="+mn-ea"/>
              <a:cs typeface="+mn-cs"/>
            </a:rPr>
            <a:t>₦720K</a:t>
          </a:r>
          <a:r>
            <a:rPr lang="en-US" sz="2000" b="0">
              <a:solidFill>
                <a:srgbClr val="993C1D"/>
              </a:solidFill>
              <a:effectLst/>
              <a:latin typeface="Impact" panose="020B0806030902050204" pitchFamily="34" charset="0"/>
            </a:rPr>
            <a:t> </a:t>
          </a:r>
          <a:endParaRPr lang="en-US" sz="2000" b="0">
            <a:solidFill>
              <a:srgbClr val="993C1D"/>
            </a:solidFill>
            <a:latin typeface="Impact" panose="020B0806030902050204" pitchFamily="34" charset="0"/>
          </a:endParaRPr>
        </a:p>
        <a:p>
          <a:pPr algn="l"/>
          <a:endParaRPr lang="en-US" sz="1100"/>
        </a:p>
      </xdr:txBody>
    </xdr:sp>
    <xdr:clientData/>
  </xdr:twoCellAnchor>
  <xdr:twoCellAnchor>
    <xdr:from>
      <xdr:col>0</xdr:col>
      <xdr:colOff>238125</xdr:colOff>
      <xdr:row>16</xdr:row>
      <xdr:rowOff>47625</xdr:rowOff>
    </xdr:from>
    <xdr:to>
      <xdr:col>2</xdr:col>
      <xdr:colOff>104775</xdr:colOff>
      <xdr:row>20</xdr:row>
      <xdr:rowOff>95250</xdr:rowOff>
    </xdr:to>
    <xdr:sp macro="" textlink="">
      <xdr:nvSpPr>
        <xdr:cNvPr id="19" name="Rectangle 18">
          <a:extLst>
            <a:ext uri="{FF2B5EF4-FFF2-40B4-BE49-F238E27FC236}">
              <a16:creationId xmlns:a16="http://schemas.microsoft.com/office/drawing/2014/main" id="{C4159F00-4B0F-4E13-B431-CD42DD6BF32F}"/>
            </a:ext>
          </a:extLst>
        </xdr:cNvPr>
        <xdr:cNvSpPr/>
      </xdr:nvSpPr>
      <xdr:spPr>
        <a:xfrm>
          <a:off x="238125" y="3095625"/>
          <a:ext cx="1285875" cy="809625"/>
        </a:xfrm>
        <a:prstGeom prst="rect">
          <a:avLst/>
        </a:prstGeom>
        <a:solidFill>
          <a:srgbClr val="FAECE7"/>
        </a:solidFill>
        <a:ln>
          <a:solidFill>
            <a:srgbClr val="F0997B"/>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solidFill>
                <a:srgbClr val="993C1D"/>
              </a:solidFill>
              <a:latin typeface="+mj-lt"/>
            </a:rPr>
            <a:t>Attrition Rate</a:t>
          </a:r>
        </a:p>
        <a:p>
          <a:pPr algn="l"/>
          <a:endParaRPr lang="en-US" sz="1100" b="1" i="0" u="none" strike="noStrike">
            <a:solidFill>
              <a:srgbClr val="993C1D"/>
            </a:solidFill>
            <a:effectLst/>
            <a:latin typeface="+mj-lt"/>
            <a:ea typeface="+mn-ea"/>
            <a:cs typeface="+mn-cs"/>
          </a:endParaRPr>
        </a:p>
        <a:p>
          <a:pPr algn="l"/>
          <a:r>
            <a:rPr lang="en-US" sz="1800" b="1" i="0" u="none" strike="noStrike">
              <a:solidFill>
                <a:srgbClr val="993C1D"/>
              </a:solidFill>
              <a:effectLst/>
              <a:latin typeface="Impact" panose="020B0806030902050204" pitchFamily="34" charset="0"/>
              <a:ea typeface="+mn-ea"/>
              <a:cs typeface="+mn-cs"/>
            </a:rPr>
            <a:t> </a:t>
          </a:r>
          <a:r>
            <a:rPr lang="en-US" sz="2000" b="1" i="0" u="none" strike="noStrike">
              <a:solidFill>
                <a:srgbClr val="993C1D"/>
              </a:solidFill>
              <a:effectLst/>
              <a:latin typeface="Impact" panose="020B0806030902050204" pitchFamily="34" charset="0"/>
              <a:ea typeface="+mn-ea"/>
              <a:cs typeface="+mn-cs"/>
            </a:rPr>
            <a:t>40.50%</a:t>
          </a:r>
          <a:r>
            <a:rPr lang="en-US" sz="2000" b="1">
              <a:solidFill>
                <a:srgbClr val="993C1D"/>
              </a:solidFill>
              <a:effectLst/>
              <a:latin typeface="Impact" panose="020B0806030902050204" pitchFamily="34" charset="0"/>
            </a:rPr>
            <a:t> </a:t>
          </a:r>
          <a:endParaRPr lang="en-US" sz="2000" b="1" i="0" u="none" strike="noStrike">
            <a:solidFill>
              <a:srgbClr val="993C1D"/>
            </a:solidFill>
            <a:effectLst/>
            <a:latin typeface="Impact" panose="020B0806030902050204" pitchFamily="34" charset="0"/>
            <a:ea typeface="+mn-ea"/>
            <a:cs typeface="+mn-cs"/>
          </a:endParaRPr>
        </a:p>
        <a:p>
          <a:pPr algn="l"/>
          <a:endParaRPr lang="en-US" sz="1100"/>
        </a:p>
      </xdr:txBody>
    </xdr:sp>
    <xdr:clientData/>
  </xdr:twoCellAnchor>
  <xdr:twoCellAnchor>
    <xdr:from>
      <xdr:col>0</xdr:col>
      <xdr:colOff>247650</xdr:colOff>
      <xdr:row>22</xdr:row>
      <xdr:rowOff>47626</xdr:rowOff>
    </xdr:from>
    <xdr:to>
      <xdr:col>2</xdr:col>
      <xdr:colOff>95250</xdr:colOff>
      <xdr:row>26</xdr:row>
      <xdr:rowOff>133350</xdr:rowOff>
    </xdr:to>
    <xdr:sp macro="" textlink="">
      <xdr:nvSpPr>
        <xdr:cNvPr id="20" name="Rectangle 19">
          <a:extLst>
            <a:ext uri="{FF2B5EF4-FFF2-40B4-BE49-F238E27FC236}">
              <a16:creationId xmlns:a16="http://schemas.microsoft.com/office/drawing/2014/main" id="{EF23CA00-E087-49DE-9D3F-20DEB7C77F75}"/>
            </a:ext>
          </a:extLst>
        </xdr:cNvPr>
        <xdr:cNvSpPr/>
      </xdr:nvSpPr>
      <xdr:spPr>
        <a:xfrm>
          <a:off x="247650" y="4238626"/>
          <a:ext cx="1266825" cy="847724"/>
        </a:xfrm>
        <a:prstGeom prst="rect">
          <a:avLst/>
        </a:prstGeom>
        <a:solidFill>
          <a:srgbClr val="FAECE7"/>
        </a:solidFill>
        <a:ln>
          <a:solidFill>
            <a:srgbClr val="F0997B"/>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b="1">
              <a:solidFill>
                <a:srgbClr val="993C1D"/>
              </a:solidFill>
              <a:latin typeface="+mn-lt"/>
            </a:rPr>
            <a:t>Performance score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u="none" strike="noStrike">
            <a:solidFill>
              <a:srgbClr val="993C1D"/>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993C1D"/>
              </a:solidFill>
              <a:effectLst/>
              <a:latin typeface="+mn-lt"/>
              <a:ea typeface="+mn-ea"/>
              <a:cs typeface="+mn-cs"/>
            </a:rPr>
            <a:t>             </a:t>
          </a:r>
          <a:r>
            <a:rPr lang="en-US" sz="2000" b="0" i="0" u="none" strike="noStrike">
              <a:solidFill>
                <a:srgbClr val="993C1D"/>
              </a:solidFill>
              <a:effectLst/>
              <a:latin typeface="Impact" panose="020B0806030902050204" pitchFamily="34" charset="0"/>
              <a:ea typeface="+mn-ea"/>
              <a:cs typeface="+mn-cs"/>
            </a:rPr>
            <a:t>2.9 </a:t>
          </a:r>
        </a:p>
        <a:p>
          <a:pPr algn="l"/>
          <a:endParaRPr lang="en-US" sz="1100"/>
        </a:p>
        <a:p>
          <a:pPr algn="l"/>
          <a:endParaRPr lang="en-US" sz="1100"/>
        </a:p>
      </xdr:txBody>
    </xdr:sp>
    <xdr:clientData/>
  </xdr:twoCellAnchor>
  <xdr:twoCellAnchor editAs="oneCell">
    <xdr:from>
      <xdr:col>14</xdr:col>
      <xdr:colOff>190500</xdr:colOff>
      <xdr:row>1</xdr:row>
      <xdr:rowOff>19050</xdr:rowOff>
    </xdr:from>
    <xdr:to>
      <xdr:col>17</xdr:col>
      <xdr:colOff>190500</xdr:colOff>
      <xdr:row>4</xdr:row>
      <xdr:rowOff>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C0E7A37B-F78F-6FD9-7C6E-99A403FBC9D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943975" y="209550"/>
              <a:ext cx="1828800"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1</xdr:row>
      <xdr:rowOff>19051</xdr:rowOff>
    </xdr:from>
    <xdr:to>
      <xdr:col>20</xdr:col>
      <xdr:colOff>304800</xdr:colOff>
      <xdr:row>3</xdr:row>
      <xdr:rowOff>171451</xdr:rowOff>
    </xdr:to>
    <mc:AlternateContent xmlns:mc="http://schemas.openxmlformats.org/markup-compatibility/2006" xmlns:a14="http://schemas.microsoft.com/office/drawing/2010/main">
      <mc:Choice Requires="a14">
        <xdr:graphicFrame macro="">
          <xdr:nvGraphicFramePr>
            <xdr:cNvPr id="3" name="Salary_bamd">
              <a:extLst>
                <a:ext uri="{FF2B5EF4-FFF2-40B4-BE49-F238E27FC236}">
                  <a16:creationId xmlns:a16="http://schemas.microsoft.com/office/drawing/2014/main" id="{3AD950DC-6F23-D032-6406-8F8CA2AC7278}"/>
                </a:ext>
              </a:extLst>
            </xdr:cNvPr>
            <xdr:cNvGraphicFramePr/>
          </xdr:nvGraphicFramePr>
          <xdr:xfrm>
            <a:off x="0" y="0"/>
            <a:ext cx="0" cy="0"/>
          </xdr:xfrm>
          <a:graphic>
            <a:graphicData uri="http://schemas.microsoft.com/office/drawing/2010/slicer">
              <sle:slicer xmlns:sle="http://schemas.microsoft.com/office/drawing/2010/slicer" name="Salary_bamd"/>
            </a:graphicData>
          </a:graphic>
        </xdr:graphicFrame>
      </mc:Choice>
      <mc:Fallback xmlns="">
        <xdr:sp macro="" textlink="">
          <xdr:nvSpPr>
            <xdr:cNvPr id="0" name=""/>
            <xdr:cNvSpPr>
              <a:spLocks noTextEdit="1"/>
            </xdr:cNvSpPr>
          </xdr:nvSpPr>
          <xdr:spPr>
            <a:xfrm>
              <a:off x="10887075" y="209551"/>
              <a:ext cx="1828800" cy="53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416635</xdr:colOff>
      <xdr:row>24</xdr:row>
      <xdr:rowOff>59256</xdr:rowOff>
    </xdr:from>
    <xdr:to>
      <xdr:col>2</xdr:col>
      <xdr:colOff>83569</xdr:colOff>
      <xdr:row>26</xdr:row>
      <xdr:rowOff>117417</xdr:rowOff>
    </xdr:to>
    <xdr:pic>
      <xdr:nvPicPr>
        <xdr:cNvPr id="5" name="Graphic 4" descr="Checklist">
          <a:extLst>
            <a:ext uri="{FF2B5EF4-FFF2-40B4-BE49-F238E27FC236}">
              <a16:creationId xmlns:a16="http://schemas.microsoft.com/office/drawing/2014/main" id="{CF1FF1F8-8C6F-912B-5C50-B553ACDC5D3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21417924">
          <a:off x="1026235" y="4631256"/>
          <a:ext cx="476559" cy="439161"/>
        </a:xfrm>
        <a:prstGeom prst="rect">
          <a:avLst/>
        </a:prstGeom>
      </xdr:spPr>
    </xdr:pic>
    <xdr:clientData/>
  </xdr:twoCellAnchor>
  <xdr:twoCellAnchor editAs="oneCell">
    <xdr:from>
      <xdr:col>1</xdr:col>
      <xdr:colOff>423342</xdr:colOff>
      <xdr:row>11</xdr:row>
      <xdr:rowOff>133734</xdr:rowOff>
    </xdr:from>
    <xdr:to>
      <xdr:col>2</xdr:col>
      <xdr:colOff>84959</xdr:colOff>
      <xdr:row>14</xdr:row>
      <xdr:rowOff>33476</xdr:rowOff>
    </xdr:to>
    <xdr:pic>
      <xdr:nvPicPr>
        <xdr:cNvPr id="14" name="Graphic 13" descr="Bullseye">
          <a:extLst>
            <a:ext uri="{FF2B5EF4-FFF2-40B4-BE49-F238E27FC236}">
              <a16:creationId xmlns:a16="http://schemas.microsoft.com/office/drawing/2014/main" id="{49A59144-F2E2-962B-F1EE-EC3CE1610A1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21422228">
          <a:off x="1032942" y="2229234"/>
          <a:ext cx="471242" cy="471242"/>
        </a:xfrm>
        <a:prstGeom prst="rect">
          <a:avLst/>
        </a:prstGeom>
      </xdr:spPr>
    </xdr:pic>
    <xdr:clientData/>
  </xdr:twoCellAnchor>
  <xdr:twoCellAnchor editAs="oneCell">
    <xdr:from>
      <xdr:col>1</xdr:col>
      <xdr:colOff>542313</xdr:colOff>
      <xdr:row>18</xdr:row>
      <xdr:rowOff>83318</xdr:rowOff>
    </xdr:from>
    <xdr:to>
      <xdr:col>2</xdr:col>
      <xdr:colOff>45609</xdr:colOff>
      <xdr:row>20</xdr:row>
      <xdr:rowOff>56399</xdr:rowOff>
    </xdr:to>
    <xdr:pic>
      <xdr:nvPicPr>
        <xdr:cNvPr id="17" name="Graphic 16" descr="Upward trend RTL">
          <a:extLst>
            <a:ext uri="{FF2B5EF4-FFF2-40B4-BE49-F238E27FC236}">
              <a16:creationId xmlns:a16="http://schemas.microsoft.com/office/drawing/2014/main" id="{67B9D91F-E2C8-C8B0-6DC0-6F01CF30BC7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21422228">
          <a:off x="1151913" y="3512318"/>
          <a:ext cx="312921" cy="354081"/>
        </a:xfrm>
        <a:prstGeom prst="rect">
          <a:avLst/>
        </a:prstGeom>
      </xdr:spPr>
    </xdr:pic>
    <xdr:clientData/>
  </xdr:twoCellAnchor>
  <xdr:twoCellAnchor editAs="oneCell">
    <xdr:from>
      <xdr:col>0</xdr:col>
      <xdr:colOff>200025</xdr:colOff>
      <xdr:row>0</xdr:row>
      <xdr:rowOff>152401</xdr:rowOff>
    </xdr:from>
    <xdr:to>
      <xdr:col>2</xdr:col>
      <xdr:colOff>161925</xdr:colOff>
      <xdr:row>5</xdr:row>
      <xdr:rowOff>38101</xdr:rowOff>
    </xdr:to>
    <mc:AlternateContent xmlns:mc="http://schemas.openxmlformats.org/markup-compatibility/2006" xmlns:a14="http://schemas.microsoft.com/office/drawing/2010/main">
      <mc:Choice Requires="a14">
        <xdr:graphicFrame macro="">
          <xdr:nvGraphicFramePr>
            <xdr:cNvPr id="18" name="Attrition">
              <a:extLst>
                <a:ext uri="{FF2B5EF4-FFF2-40B4-BE49-F238E27FC236}">
                  <a16:creationId xmlns:a16="http://schemas.microsoft.com/office/drawing/2014/main" id="{E426CD4E-4909-D820-8D80-D8ABB80E9C6F}"/>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00025" y="152401"/>
              <a:ext cx="1381125"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owu" refreshedDate="46169.260076273145" createdVersion="8" refreshedVersion="8" minRefreshableVersion="3" recordCount="200" xr:uid="{FC366653-0023-445D-9655-A85BA7A3C1FA}">
  <cacheSource type="worksheet">
    <worksheetSource name="cleaned_data"/>
  </cacheSource>
  <cacheFields count="19">
    <cacheField name="Employee_ID" numFmtId="0">
      <sharedItems/>
    </cacheField>
    <cacheField name="Full_Name" numFmtId="0">
      <sharedItems/>
    </cacheField>
    <cacheField name="Department" numFmtId="0">
      <sharedItems count="8">
        <s v="Marketing"/>
        <s v="Operations"/>
        <s v="HR"/>
        <s v="Legal"/>
        <s v="Finance"/>
        <s v="IT"/>
        <s v="Admin"/>
        <s v="Sales"/>
      </sharedItems>
    </cacheField>
    <cacheField name="Job_Title" numFmtId="0">
      <sharedItems/>
    </cacheField>
    <cacheField name="Gender" numFmtId="0">
      <sharedItems/>
    </cacheField>
    <cacheField name="Age" numFmtId="0">
      <sharedItems containsSemiMixedTypes="0" containsString="0" containsNumber="1" containsInteger="1" minValue="22" maxValue="58"/>
    </cacheField>
    <cacheField name="Date_Hired" numFmtId="14">
      <sharedItems containsSemiMixedTypes="0" containsNonDate="0" containsDate="1" containsString="0" minDate="2019-01-16T00:00:00" maxDate="2023-12-26T00:00:00"/>
    </cacheField>
    <cacheField name="Date_Left" numFmtId="14">
      <sharedItems containsNonDate="0" containsDate="1" containsString="0" containsBlank="1" minDate="2019-09-02T00:00:00" maxDate="2028-10-20T00:00:00"/>
    </cacheField>
    <cacheField name="Employment_Status" numFmtId="0">
      <sharedItems/>
    </cacheField>
    <cacheField name="Performance_Score" numFmtId="0">
      <sharedItems containsSemiMixedTypes="0" containsString="0" containsNumber="1" containsInteger="1" minValue="0" maxValue="10"/>
    </cacheField>
    <cacheField name="Column1" numFmtId="0">
      <sharedItems containsNonDate="0" containsString="0" containsBlank="1"/>
    </cacheField>
    <cacheField name="Years_Experience" numFmtId="0">
      <sharedItems containsSemiMixedTypes="0" containsString="0" containsNumber="1" minValue="-4.5999999999999996" maxValue="19.899999999999999"/>
    </cacheField>
    <cacheField name="Education_Level" numFmtId="0">
      <sharedItems/>
    </cacheField>
    <cacheField name="Salary_NG" numFmtId="164">
      <sharedItems containsSemiMixedTypes="0" containsString="0" containsNumber="1" minValue="82861.929999999993" maxValue="1486684.54"/>
    </cacheField>
    <cacheField name="Attrition" numFmtId="0">
      <sharedItems count="2">
        <s v="No"/>
        <s v="Yes"/>
      </sharedItems>
    </cacheField>
    <cacheField name="Tenure_year" numFmtId="0">
      <sharedItems containsSemiMixedTypes="0" containsString="0" containsNumber="1" minValue="0.6" maxValue="7.4"/>
    </cacheField>
    <cacheField name="Age_Group" numFmtId="0">
      <sharedItems count="4">
        <s v="Under 30"/>
        <s v="30-40"/>
        <s v="Above 50"/>
        <s v="41-50"/>
      </sharedItems>
    </cacheField>
    <cacheField name="Salary_bamd" numFmtId="0">
      <sharedItems count="4">
        <s v="High"/>
        <s v="Mid"/>
        <s v="Low"/>
        <s v="Very High"/>
      </sharedItems>
    </cacheField>
    <cacheField name="Hire_year" numFmtId="0">
      <sharedItems containsSemiMixedTypes="0" containsString="0" containsNumber="1" containsInteger="1" minValue="2019" maxValue="2023" count="5">
        <n v="2020"/>
        <n v="2023"/>
        <n v="2019"/>
        <n v="2021"/>
        <n v="2022"/>
      </sharedItems>
    </cacheField>
  </cacheFields>
  <extLst>
    <ext xmlns:x14="http://schemas.microsoft.com/office/spreadsheetml/2009/9/main" uri="{725AE2AE-9491-48be-B2B4-4EB974FC3084}">
      <x14:pivotCacheDefinition pivotCacheId="285477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310185" backgroundQuery="1" createdVersion="8" refreshedVersion="8" minRefreshableVersion="3" recordCount="0" supportSubquery="1" supportAdvancedDrill="1" xr:uid="{B96B2215-F3C1-407B-9D7F-73AFEDE1693E}">
  <cacheSource type="external" connectionId="2"/>
  <cacheFields count="3">
    <cacheField name="[Measures].[Count of Employee_ID]" caption="Count of Employee_ID" numFmtId="0" hierarchy="30" level="32767"/>
    <cacheField name="[Table3].[DepartmentName].[DepartmentName]" caption="DepartmentName" numFmtId="0" hierarchy="20" level="1">
      <sharedItems count="7">
        <s v="Admin"/>
        <s v="Finance"/>
        <s v="HR"/>
        <s v="IT"/>
        <s v="Legal"/>
        <s v="Marketing"/>
        <s v="Sales"/>
      </sharedItems>
    </cacheField>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2" memberValueDatatype="130" unbalanced="0"/>
    <cacheHierarchy uniqueName="[Cleaned_data].[Full_Name]" caption="Full_Name" attribute="1" defaultMemberUniqueName="[Cleaned_data].[Full_Name].[All]" allUniqueName="[Cleaned_data].[Full_Name].[All]" dimensionUniqueName="[Cleaned_data]" displayFolder="" count="2" memberValueDatatype="130" unbalanced="0"/>
    <cacheHierarchy uniqueName="[Cleaned_data].[Department]" caption="Department" attribute="1" defaultMemberUniqueName="[Cleaned_data].[Department].[All]" allUniqueName="[Cleaned_data].[Department].[All]" dimensionUniqueName="[Cleaned_data]" displayFolder="" count="2" memberValueDatatype="130" unbalanced="0"/>
    <cacheHierarchy uniqueName="[Cleaned_data].[Job_Title]" caption="Job_Title" attribute="1" defaultMemberUniqueName="[Cleaned_data].[Job_Title].[All]" allUniqueName="[Cleaned_data].[Job_Title].[All]" dimensionUniqueName="[Cleaned_data]" displayFolder="" count="2" memberValueDatatype="130" unbalanced="0"/>
    <cacheHierarchy uniqueName="[Cleaned_data].[Gender]" caption="Gender" attribute="1" defaultMemberUniqueName="[Cleaned_data].[Gender].[All]" allUniqueName="[Cleaned_data].[Gender].[All]" dimensionUniqueName="[Cleaned_data]" displayFolder="" count="2" memberValueDatatype="130" unbalanced="0"/>
    <cacheHierarchy uniqueName="[Cleaned_data].[Age]" caption="Age" attribute="1" defaultMemberUniqueName="[Cleaned_data].[Age].[All]" allUniqueName="[Cleaned_data].[Age].[All]" dimensionUniqueName="[Cleaned_data]" displayFolder="" count="2" memberValueDatatype="20" unbalanced="0"/>
    <cacheHierarchy uniqueName="[Cleaned_data].[Date_Hired]" caption="Date_Hired" attribute="1" time="1" defaultMemberUniqueName="[Cleaned_data].[Date_Hired].[All]" allUniqueName="[Cleaned_data].[Date_Hired].[All]" dimensionUniqueName="[Cleaned_data]" displayFolder="" count="2" memberValueDatatype="7" unbalanced="0"/>
    <cacheHierarchy uniqueName="[Cleaned_data].[Date_Left]" caption="Date_Left" attribute="1" time="1" defaultMemberUniqueName="[Cleaned_data].[Date_Left].[All]" allUniqueName="[Cleaned_data].[Date_Left].[All]" dimensionUniqueName="[Cleaned_data]" displayFolder="" count="2"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2" memberValueDatatype="20" unbalanced="0"/>
    <cacheHierarchy uniqueName="[Cleaned_data].[Column1]" caption="Column1" attribute="1" defaultMemberUniqueName="[Cleaned_data].[Column1].[All]" allUniqueName="[Cleaned_data].[Column1].[All]" dimensionUniqueName="[Cleaned_data]" displayFolder="" count="2" memberValueDatatype="130" unbalanced="0"/>
    <cacheHierarchy uniqueName="[Cleaned_data].[Years_Experience]" caption="Years_Experience" attribute="1" defaultMemberUniqueName="[Cleaned_data].[Years_Experience].[All]" allUniqueName="[Cleaned_data].[Years_Experience].[All]" dimensionUniqueName="[Cleaned_data]" displayFolder="" count="2" memberValueDatatype="5" unbalanced="0"/>
    <cacheHierarchy uniqueName="[Cleaned_data].[Education_Level]" caption="Education_Level" attribute="1" defaultMemberUniqueName="[Cleaned_data].[Education_Level].[All]" allUniqueName="[Cleaned_data].[Education_Level].[All]" dimensionUniqueName="[Cleaned_data]" displayFolder="" count="2" memberValueDatatype="130" unbalanced="0"/>
    <cacheHierarchy uniqueName="[Cleaned_data].[Salary_NG]" caption="Salary_NG" attribute="1" defaultMemberUniqueName="[Cleaned_data].[Salary_NG].[All]" allUniqueName="[Cleaned_data].[Salary_NG].[All]" dimensionUniqueName="[Cleaned_data]" displayFolder="" count="2" memberValueDatatype="5" unbalanced="0"/>
    <cacheHierarchy uniqueName="[Cleaned_data].[Attrition]" caption="Attrition" attribute="1" defaultMemberUniqueName="[Cleaned_data].[Attrition].[All]" allUniqueName="[Cleaned_data].[Attrition].[All]" dimensionUniqueName="[Cleaned_data]" displayFolder="" count="2" memberValueDatatype="130" unbalanced="0"/>
    <cacheHierarchy uniqueName="[Cleaned_data].[Tenure_year]" caption="Tenure_year" attribute="1" defaultMemberUniqueName="[Cleaned_data].[Tenure_year].[All]" allUniqueName="[Cleaned_data].[Tenure_year].[All]" dimensionUniqueName="[Cleaned_data]" displayFolder="" count="2"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2"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2"/>
      </fieldsUsage>
    </cacheHierarchy>
    <cacheHierarchy uniqueName="[Table3].[DepartmentID]" caption="DepartmentID" attribute="1" defaultMemberUniqueName="[Table3].[DepartmentID].[All]" allUniqueName="[Table3].[DepartmentID].[All]" dimensionUniqueName="[Table3]" displayFolder="" count="2" memberValueDatatype="130" unbalanced="0"/>
    <cacheHierarchy uniqueName="[Table3].[DepartmentName]" caption="DepartmentName" attribute="1" defaultMemberUniqueName="[Table3].[DepartmentName].[All]" allUniqueName="[Table3].[DepartmentName].[All]" dimensionUniqueName="[Table3]" displayFolder="" count="2" memberValueDatatype="130" unbalanced="0">
      <fieldsUsage count="2">
        <fieldUsage x="-1"/>
        <fieldUsage x="1"/>
      </fieldsUsage>
    </cacheHierarchy>
    <cacheHierarchy uniqueName="[Table3].[DepartmentHead]" caption="DepartmentHead" attribute="1" defaultMemberUniqueName="[Table3].[DepartmentHead].[All]" allUniqueName="[Table3].[DepartmentHead].[All]" dimensionUniqueName="[Table3]" displayFolder="" count="2" memberValueDatatype="130" unbalanced="0"/>
    <cacheHierarchy uniqueName="[Table4].[Employee_ID]" caption="Employee_ID" attribute="1" defaultMemberUniqueName="[Table4].[Employee_ID].[All]" allUniqueName="[Table4].[Employee_ID].[All]" dimensionUniqueName="[Table4]" displayFolder="" count="2" memberValueDatatype="130" unbalanced="0"/>
    <cacheHierarchy uniqueName="[Table4].[Performance_Score]" caption="Performance_Score" attribute="1" defaultMemberUniqueName="[Table4].[Performance_Score].[All]" allUniqueName="[Table4].[Performance_Score].[All]" dimensionUniqueName="[Table4]" displayFolder="" count="2" memberValueDatatype="20" unbalanced="0"/>
    <cacheHierarchy uniqueName="[Table4].[Years_Experience]" caption="Years_Experience" attribute="1" defaultMemberUniqueName="[Table4].[Years_Experience].[All]" allUniqueName="[Table4].[Years_Experience].[All]" dimensionUniqueName="[Table4]" displayFolder="" count="2" memberValueDatatype="5" unbalanced="0"/>
    <cacheHierarchy uniqueName="[Table4].[Attrition]" caption="Attrition" attribute="1" defaultMemberUniqueName="[Table4].[Attrition].[All]" allUniqueName="[Table4].[Attrition].[All]" dimensionUniqueName="[Table4]" displayFolder="" count="2"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3564812" backgroundQuery="1" createdVersion="8" refreshedVersion="8" minRefreshableVersion="3" recordCount="0" supportSubquery="1" supportAdvancedDrill="1" xr:uid="{CD871E83-FC4E-4E2C-A221-A541629B1877}">
  <cacheSource type="external" connectionId="2"/>
  <cacheFields count="3">
    <cacheField name="[Cleaned_data].[Salary_bamd].[Salary_bamd]" caption="Salary_bamd" numFmtId="0" hierarchy="17" level="1">
      <sharedItems count="4">
        <s v="High"/>
        <s v="Low"/>
        <s v="Mid"/>
        <s v="Very High"/>
      </sharedItems>
    </cacheField>
    <cacheField name="[Measures].[Count of Employee_ID]" caption="Count of Employee_ID" numFmtId="0" hierarchy="30" level="32767"/>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0"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0" memberValueDatatype="20" unbalanced="0"/>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0" memberValueDatatype="130" unbalanced="0"/>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Tenure_year]" caption="Tenure_year" attribute="1" defaultMemberUniqueName="[Cleaned_data].[Tenure_year].[All]" allUniqueName="[Cleaned_data].[Tenure_year].[All]" dimensionUniqueName="[Cleaned_data]" displayFolder="" count="0"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2" memberValueDatatype="130" unbalanced="0">
      <fieldsUsage count="2">
        <fieldUsage x="-1"/>
        <fieldUsage x="0"/>
      </fieldsUsage>
    </cacheHierarchy>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2"/>
      </fieldsUsage>
    </cacheHierarchy>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0" memberValueDatatype="130" unbalanced="0"/>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3912035" backgroundQuery="1" createdVersion="8" refreshedVersion="8" minRefreshableVersion="3" recordCount="0" supportSubquery="1" supportAdvancedDrill="1" xr:uid="{B3E5483C-2084-497C-82FE-47954780DC2E}">
  <cacheSource type="external" connectionId="2"/>
  <cacheFields count="3">
    <cacheField name="[Cleaned_data].[Education_Level].[Education_Level]" caption="Education_Level" numFmtId="0" hierarchy="12" level="1">
      <sharedItems count="5">
        <s v="BSc"/>
        <s v="HND"/>
        <s v="MSc"/>
        <s v="OND"/>
        <s v="PhD"/>
      </sharedItems>
    </cacheField>
    <cacheField name="[Measures].[Average of Salary_NG]" caption="Average of Salary_NG" numFmtId="0" hierarchy="32" level="32767"/>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0"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0" memberValueDatatype="20" unbalanced="0"/>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2" memberValueDatatype="130" unbalanced="0">
      <fieldsUsage count="2">
        <fieldUsage x="-1"/>
        <fieldUsage x="0"/>
      </fieldsUsage>
    </cacheHierarchy>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Tenure_year]" caption="Tenure_year" attribute="1" defaultMemberUniqueName="[Cleaned_data].[Tenure_year].[All]" allUniqueName="[Cleaned_data].[Tenure_year].[All]" dimensionUniqueName="[Cleaned_data]" displayFolder="" count="0"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0"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2"/>
      </fieldsUsage>
    </cacheHierarchy>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0" memberValueDatatype="130" unbalanced="0"/>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hidden="1">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4374997" backgroundQuery="1" createdVersion="8" refreshedVersion="8" minRefreshableVersion="3" recordCount="0" supportSubquery="1" supportAdvancedDrill="1" xr:uid="{1B04542A-EBF5-426B-8A0C-51268C951094}">
  <cacheSource type="external" connectionId="2"/>
  <cacheFields count="3">
    <cacheField name="[Cleaned_data].[Employment_Status].[Employment_Status]" caption="Employment_Status" numFmtId="0" hierarchy="8" level="1">
      <sharedItems count="3">
        <s v="Active"/>
        <s v="Resigned"/>
        <s v="Terminated"/>
      </sharedItems>
    </cacheField>
    <cacheField name="[Measures].[Count of Employee_ID]" caption="Count of Employee_ID" numFmtId="0" hierarchy="30" level="32767"/>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2" memberValueDatatype="130" unbalanced="0"/>
    <cacheHierarchy uniqueName="[Cleaned_data].[Full_Name]" caption="Full_Name" attribute="1" defaultMemberUniqueName="[Cleaned_data].[Full_Name].[All]" allUniqueName="[Cleaned_data].[Full_Name].[All]" dimensionUniqueName="[Cleaned_data]" displayFolder="" count="2" memberValueDatatype="130" unbalanced="0"/>
    <cacheHierarchy uniqueName="[Cleaned_data].[Department]" caption="Department" attribute="1" defaultMemberUniqueName="[Cleaned_data].[Department].[All]" allUniqueName="[Cleaned_data].[Department].[All]" dimensionUniqueName="[Cleaned_data]" displayFolder="" count="2" memberValueDatatype="130" unbalanced="0"/>
    <cacheHierarchy uniqueName="[Cleaned_data].[Job_Title]" caption="Job_Title" attribute="1" defaultMemberUniqueName="[Cleaned_data].[Job_Title].[All]" allUniqueName="[Cleaned_data].[Job_Title].[All]" dimensionUniqueName="[Cleaned_data]" displayFolder="" count="2" memberValueDatatype="130" unbalanced="0"/>
    <cacheHierarchy uniqueName="[Cleaned_data].[Gender]" caption="Gender" attribute="1" defaultMemberUniqueName="[Cleaned_data].[Gender].[All]" allUniqueName="[Cleaned_data].[Gender].[All]" dimensionUniqueName="[Cleaned_data]" displayFolder="" count="2" memberValueDatatype="130" unbalanced="0"/>
    <cacheHierarchy uniqueName="[Cleaned_data].[Age]" caption="Age" attribute="1" defaultMemberUniqueName="[Cleaned_data].[Age].[All]" allUniqueName="[Cleaned_data].[Age].[All]" dimensionUniqueName="[Cleaned_data]" displayFolder="" count="2" memberValueDatatype="20" unbalanced="0"/>
    <cacheHierarchy uniqueName="[Cleaned_data].[Date_Hired]" caption="Date_Hired" attribute="1" time="1" defaultMemberUniqueName="[Cleaned_data].[Date_Hired].[All]" allUniqueName="[Cleaned_data].[Date_Hired].[All]" dimensionUniqueName="[Cleaned_data]" displayFolder="" count="2" memberValueDatatype="7" unbalanced="0"/>
    <cacheHierarchy uniqueName="[Cleaned_data].[Date_Left]" caption="Date_Left" attribute="1" time="1" defaultMemberUniqueName="[Cleaned_data].[Date_Left].[All]" allUniqueName="[Cleaned_data].[Date_Left].[All]" dimensionUniqueName="[Cleaned_data]" displayFolder="" count="2"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fieldsUsage count="2">
        <fieldUsage x="-1"/>
        <fieldUsage x="0"/>
      </fieldsUsage>
    </cacheHierarchy>
    <cacheHierarchy uniqueName="[Cleaned_data].[Performance_Score]" caption="Performance_Score" attribute="1" defaultMemberUniqueName="[Cleaned_data].[Performance_Score].[All]" allUniqueName="[Cleaned_data].[Performance_Score].[All]" dimensionUniqueName="[Cleaned_data]" displayFolder="" count="2" memberValueDatatype="20" unbalanced="0"/>
    <cacheHierarchy uniqueName="[Cleaned_data].[Column1]" caption="Column1" attribute="1" defaultMemberUniqueName="[Cleaned_data].[Column1].[All]" allUniqueName="[Cleaned_data].[Column1].[All]" dimensionUniqueName="[Cleaned_data]" displayFolder="" count="2" memberValueDatatype="130" unbalanced="0"/>
    <cacheHierarchy uniqueName="[Cleaned_data].[Years_Experience]" caption="Years_Experience" attribute="1" defaultMemberUniqueName="[Cleaned_data].[Years_Experience].[All]" allUniqueName="[Cleaned_data].[Years_Experience].[All]" dimensionUniqueName="[Cleaned_data]" displayFolder="" count="2" memberValueDatatype="5" unbalanced="0"/>
    <cacheHierarchy uniqueName="[Cleaned_data].[Education_Level]" caption="Education_Level" attribute="1" defaultMemberUniqueName="[Cleaned_data].[Education_Level].[All]" allUniqueName="[Cleaned_data].[Education_Level].[All]" dimensionUniqueName="[Cleaned_data]" displayFolder="" count="2" memberValueDatatype="130" unbalanced="0"/>
    <cacheHierarchy uniqueName="[Cleaned_data].[Salary_NG]" caption="Salary_NG" attribute="1" defaultMemberUniqueName="[Cleaned_data].[Salary_NG].[All]" allUniqueName="[Cleaned_data].[Salary_NG].[All]" dimensionUniqueName="[Cleaned_data]" displayFolder="" count="2" memberValueDatatype="5" unbalanced="0"/>
    <cacheHierarchy uniqueName="[Cleaned_data].[Attrition]" caption="Attrition" attribute="1" defaultMemberUniqueName="[Cleaned_data].[Attrition].[All]" allUniqueName="[Cleaned_data].[Attrition].[All]" dimensionUniqueName="[Cleaned_data]" displayFolder="" count="2" memberValueDatatype="130" unbalanced="0"/>
    <cacheHierarchy uniqueName="[Cleaned_data].[Tenure_year]" caption="Tenure_year" attribute="1" defaultMemberUniqueName="[Cleaned_data].[Tenure_year].[All]" allUniqueName="[Cleaned_data].[Tenure_year].[All]" dimensionUniqueName="[Cleaned_data]" displayFolder="" count="2"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2"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2"/>
      </fieldsUsage>
    </cacheHierarchy>
    <cacheHierarchy uniqueName="[Table3].[DepartmentID]" caption="DepartmentID" attribute="1" defaultMemberUniqueName="[Table3].[DepartmentID].[All]" allUniqueName="[Table3].[DepartmentID].[All]" dimensionUniqueName="[Table3]" displayFolder="" count="2" memberValueDatatype="130" unbalanced="0"/>
    <cacheHierarchy uniqueName="[Table3].[DepartmentName]" caption="DepartmentName" attribute="1" defaultMemberUniqueName="[Table3].[DepartmentName].[All]" allUniqueName="[Table3].[DepartmentName].[All]" dimensionUniqueName="[Table3]" displayFolder="" count="2" memberValueDatatype="130" unbalanced="0"/>
    <cacheHierarchy uniqueName="[Table3].[DepartmentHead]" caption="DepartmentHead" attribute="1" defaultMemberUniqueName="[Table3].[DepartmentHead].[All]" allUniqueName="[Table3].[DepartmentHead].[All]" dimensionUniqueName="[Table3]" displayFolder="" count="2" memberValueDatatype="130" unbalanced="0"/>
    <cacheHierarchy uniqueName="[Table4].[Employee_ID]" caption="Employee_ID" attribute="1" defaultMemberUniqueName="[Table4].[Employee_ID].[All]" allUniqueName="[Table4].[Employee_ID].[All]" dimensionUniqueName="[Table4]" displayFolder="" count="2" memberValueDatatype="130" unbalanced="0"/>
    <cacheHierarchy uniqueName="[Table4].[Performance_Score]" caption="Performance_Score" attribute="1" defaultMemberUniqueName="[Table4].[Performance_Score].[All]" allUniqueName="[Table4].[Performance_Score].[All]" dimensionUniqueName="[Table4]" displayFolder="" count="2" memberValueDatatype="20" unbalanced="0"/>
    <cacheHierarchy uniqueName="[Table4].[Years_Experience]" caption="Years_Experience" attribute="1" defaultMemberUniqueName="[Table4].[Years_Experience].[All]" allUniqueName="[Table4].[Years_Experience].[All]" dimensionUniqueName="[Table4]" displayFolder="" count="2" memberValueDatatype="5" unbalanced="0"/>
    <cacheHierarchy uniqueName="[Table4].[Attrition]" caption="Attrition" attribute="1" defaultMemberUniqueName="[Table4].[Attrition].[All]" allUniqueName="[Table4].[Attrition].[All]" dimensionUniqueName="[Table4]" displayFolder="" count="2"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4953705" backgroundQuery="1" createdVersion="8" refreshedVersion="8" minRefreshableVersion="3" recordCount="0" supportSubquery="1" supportAdvancedDrill="1" xr:uid="{B56D6A7A-854B-49BD-BB6F-A4672F5C021C}">
  <cacheSource type="external" connectionId="2"/>
  <cacheFields count="4">
    <cacheField name="[Measures].[Count of Employee_ID]" caption="Count of Employee_ID" numFmtId="0" hierarchy="30" level="32767"/>
    <cacheField name="[Cleaned_data].[Attrition].[Attrition]" caption="Attrition" numFmtId="0" hierarchy="14" level="1">
      <sharedItems count="2">
        <s v="No"/>
        <s v="Yes"/>
      </sharedItems>
    </cacheField>
    <cacheField name="[Table3].[DepartmentName].[DepartmentName]" caption="DepartmentName" numFmtId="0" hierarchy="20" level="1">
      <sharedItems count="7">
        <s v="Admin"/>
        <s v="Finance"/>
        <s v="HR"/>
        <s v="IT"/>
        <s v="Legal"/>
        <s v="Marketing"/>
        <s v="Sales"/>
      </sharedItems>
    </cacheField>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0"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0" memberValueDatatype="20" unbalanced="0"/>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0" memberValueDatatype="130" unbalanced="0"/>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2" memberValueDatatype="130" unbalanced="0">
      <fieldsUsage count="2">
        <fieldUsage x="-1"/>
        <fieldUsage x="1"/>
      </fieldsUsage>
    </cacheHierarchy>
    <cacheHierarchy uniqueName="[Cleaned_data].[Tenure_year]" caption="Tenure_year" attribute="1" defaultMemberUniqueName="[Cleaned_data].[Tenure_year].[All]" allUniqueName="[Cleaned_data].[Tenure_year].[All]" dimensionUniqueName="[Cleaned_data]" displayFolder="" count="0"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0"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3"/>
      </fieldsUsage>
    </cacheHierarchy>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2" memberValueDatatype="130" unbalanced="0">
      <fieldsUsage count="2">
        <fieldUsage x="-1"/>
        <fieldUsage x="2"/>
      </fieldsUsage>
    </cacheHierarchy>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5300928" backgroundQuery="1" createdVersion="8" refreshedVersion="8" minRefreshableVersion="3" recordCount="0" supportSubquery="1" supportAdvancedDrill="1" xr:uid="{5DBDBA94-4F99-4B7B-B195-8A23DE51A177}">
  <cacheSource type="external" connectionId="2"/>
  <cacheFields count="5">
    <cacheField name="[Cleaned_data].[Job_Title].[Job_Title]" caption="Job_Title" numFmtId="0" hierarchy="3" level="1">
      <sharedItems count="8">
        <s v="Analyst"/>
        <s v="Associate"/>
        <s v="Coordinator"/>
        <s v="Director"/>
        <s v="Executive"/>
        <s v="Manager"/>
        <s v="Senior Analyst"/>
        <s v="Specialist"/>
      </sharedItems>
    </cacheField>
    <cacheField name="[Measures].[Average of Salary_NG]" caption="Average of Salary_NG" numFmtId="0" hierarchy="32" level="32767"/>
    <cacheField name="[Cleaned_data].[Age_Group].[Age_Group]" caption="Age_Group" numFmtId="0" hierarchy="16" level="1">
      <sharedItems containsSemiMixedTypes="0" containsNonDate="0" containsString="0"/>
    </cacheField>
    <cacheField name="[Cleaned_data].[Employment_Status].[Employment_Status]" caption="Employment_Status" numFmtId="0" hierarchy="8" level="1">
      <sharedItems containsSemiMixedTypes="0" containsNonDate="0" containsString="0"/>
    </cacheField>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2" memberValueDatatype="130" unbalanced="0">
      <fieldsUsage count="2">
        <fieldUsage x="-1"/>
        <fieldUsage x="0"/>
      </fieldsUsage>
    </cacheHierarchy>
    <cacheHierarchy uniqueName="[Cleaned_data].[Gender]" caption="Gender" attribute="1" defaultMemberUniqueName="[Cleaned_data].[Gender].[All]" allUniqueName="[Cleaned_data].[Gender].[All]" dimensionUniqueName="[Cleaned_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fieldsUsage count="2">
        <fieldUsage x="-1"/>
        <fieldUsage x="3"/>
      </fieldsUsage>
    </cacheHierarchy>
    <cacheHierarchy uniqueName="[Cleaned_data].[Performance_Score]" caption="Performance_Score" attribute="1" defaultMemberUniqueName="[Cleaned_data].[Performance_Score].[All]" allUniqueName="[Cleaned_data].[Performance_Score].[All]" dimensionUniqueName="[Cleaned_data]" displayFolder="" count="0" memberValueDatatype="20" unbalanced="0"/>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0" memberValueDatatype="130" unbalanced="0"/>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Tenure_year]" caption="Tenure_year" attribute="1" defaultMemberUniqueName="[Cleaned_data].[Tenure_year].[All]" allUniqueName="[Cleaned_data].[Tenure_year].[All]" dimensionUniqueName="[Cleaned_data]" displayFolder="" count="0"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fieldsUsage count="2">
        <fieldUsage x="-1"/>
        <fieldUsage x="2"/>
      </fieldsUsage>
    </cacheHierarchy>
    <cacheHierarchy uniqueName="[Cleaned_data].[Salary_bamd]" caption="Salary_bamd" attribute="1" defaultMemberUniqueName="[Cleaned_data].[Salary_bamd].[All]" allUniqueName="[Cleaned_data].[Salary_bamd].[All]" dimensionUniqueName="[Cleaned_data]" displayFolder="" count="0"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4"/>
      </fieldsUsage>
    </cacheHierarchy>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0" memberValueDatatype="130" unbalanced="0"/>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hidden="1">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576389" backgroundQuery="1" createdVersion="8" refreshedVersion="8" minRefreshableVersion="3" recordCount="0" supportSubquery="1" supportAdvancedDrill="1" xr:uid="{D7BE2C10-7F53-4F6C-AF8E-BD12D81009B0}">
  <cacheSource type="external" connectionId="2"/>
  <cacheFields count="3">
    <cacheField name="[Measures].[Count of Employee_ID]" caption="Count of Employee_ID" numFmtId="0" hierarchy="30" level="32767"/>
    <cacheField name="[Cleaned_data].[Gender].[Gender]" caption="Gender" numFmtId="0" hierarchy="4" level="1">
      <sharedItems count="2">
        <s v="Female"/>
        <s v="Male"/>
      </sharedItems>
    </cacheField>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0" memberValueDatatype="130" unbalanced="0"/>
    <cacheHierarchy uniqueName="[Cleaned_data].[Gender]" caption="Gender" attribute="1" defaultMemberUniqueName="[Cleaned_data].[Gender].[All]" allUniqueName="[Cleaned_data].[Gender].[All]" dimensionUniqueName="[Cleaned_data]" displayFolder="" count="2" memberValueDatatype="130" unbalanced="0">
      <fieldsUsage count="2">
        <fieldUsage x="-1"/>
        <fieldUsage x="1"/>
      </fieldsUsage>
    </cacheHierarchy>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0" memberValueDatatype="20" unbalanced="0"/>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0" memberValueDatatype="130" unbalanced="0"/>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Tenure_year]" caption="Tenure_year" attribute="1" defaultMemberUniqueName="[Cleaned_data].[Tenure_year].[All]" allUniqueName="[Cleaned_data].[Tenure_year].[All]" dimensionUniqueName="[Cleaned_data]" displayFolder="" count="0"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0"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2"/>
      </fieldsUsage>
    </cacheHierarchy>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0" memberValueDatatype="130" unbalanced="0"/>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6111113" backgroundQuery="1" createdVersion="8" refreshedVersion="8" minRefreshableVersion="3" recordCount="0" supportSubquery="1" supportAdvancedDrill="1" xr:uid="{E5D89383-334D-4741-999E-3D235CC544DF}">
  <cacheSource type="external" connectionId="2"/>
  <cacheFields count="3">
    <cacheField name="[Measures].[Count of Employee_ID]" caption="Count of Employee_ID" numFmtId="0" hierarchy="30" level="32767"/>
    <cacheField name="[Cleaned_data].[Performance_Score].[Performance_Score]" caption="Performance_Score" numFmtId="0" hierarchy="9" level="1">
      <sharedItems containsSemiMixedTypes="0" containsString="0" containsNumber="1" containsInteger="1" minValue="0" maxValue="10" count="7">
        <n v="0"/>
        <n v="1"/>
        <n v="2"/>
        <n v="3"/>
        <n v="4"/>
        <n v="5"/>
        <n v="10"/>
      </sharedItems>
      <extLst>
        <ext xmlns:x15="http://schemas.microsoft.com/office/spreadsheetml/2010/11/main" uri="{4F2E5C28-24EA-4eb8-9CBF-B6C8F9C3D259}">
          <x15:cachedUniqueNames>
            <x15:cachedUniqueName index="0" name="[Cleaned_data].[Performance_Score].&amp;[0]"/>
            <x15:cachedUniqueName index="1" name="[Cleaned_data].[Performance_Score].&amp;[1]"/>
            <x15:cachedUniqueName index="2" name="[Cleaned_data].[Performance_Score].&amp;[2]"/>
            <x15:cachedUniqueName index="3" name="[Cleaned_data].[Performance_Score].&amp;[3]"/>
            <x15:cachedUniqueName index="4" name="[Cleaned_data].[Performance_Score].&amp;[4]"/>
            <x15:cachedUniqueName index="5" name="[Cleaned_data].[Performance_Score].&amp;[5]"/>
            <x15:cachedUniqueName index="6" name="[Cleaned_data].[Performance_Score].&amp;[10]"/>
          </x15:cachedUniqueNames>
        </ext>
      </extLst>
    </cacheField>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0"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2" memberValueDatatype="20" unbalanced="0">
      <fieldsUsage count="2">
        <fieldUsage x="-1"/>
        <fieldUsage x="1"/>
      </fieldsUsage>
    </cacheHierarchy>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0" memberValueDatatype="130" unbalanced="0"/>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Tenure_year]" caption="Tenure_year" attribute="1" defaultMemberUniqueName="[Cleaned_data].[Tenure_year].[All]" allUniqueName="[Cleaned_data].[Tenure_year].[All]" dimensionUniqueName="[Cleaned_data]" displayFolder="" count="0"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0"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2"/>
      </fieldsUsage>
    </cacheHierarchy>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0" memberValueDatatype="130" unbalanced="0"/>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6458336" backgroundQuery="1" createdVersion="8" refreshedVersion="8" minRefreshableVersion="3" recordCount="0" supportSubquery="1" supportAdvancedDrill="1" xr:uid="{0E746B3F-6BFB-4E15-8E25-5ADB03563A6D}">
  <cacheSource type="external" connectionId="2"/>
  <cacheFields count="3">
    <cacheField name="[Measures].[Count of Employee_ID]" caption="Count of Employee_ID" numFmtId="0" hierarchy="30" level="32767"/>
    <cacheField name="[Cleaned_data].[Age_Group].[Age_Group]" caption="Age_Group" numFmtId="0" hierarchy="16" level="1">
      <sharedItems count="4">
        <s v="30-40"/>
        <s v="41-50"/>
        <s v="Above 50"/>
        <s v="Under 30"/>
      </sharedItems>
    </cacheField>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0"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0" memberValueDatatype="20" unbalanced="0"/>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0" memberValueDatatype="130" unbalanced="0"/>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Tenure_year]" caption="Tenure_year" attribute="1" defaultMemberUniqueName="[Cleaned_data].[Tenure_year].[All]" allUniqueName="[Cleaned_data].[Tenure_year].[All]" dimensionUniqueName="[Cleaned_data]" displayFolder="" count="0"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fieldsUsage count="2">
        <fieldUsage x="-1"/>
        <fieldUsage x="1"/>
      </fieldsUsage>
    </cacheHierarchy>
    <cacheHierarchy uniqueName="[Cleaned_data].[Salary_bamd]" caption="Salary_bamd" attribute="1" defaultMemberUniqueName="[Cleaned_data].[Salary_bamd].[All]" allUniqueName="[Cleaned_data].[Salary_bamd].[All]" dimensionUniqueName="[Cleaned_data]" displayFolder="" count="0"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2"/>
      </fieldsUsage>
    </cacheHierarchy>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0" memberValueDatatype="130" unbalanced="0"/>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500736805552" backgroundQuery="1" createdVersion="8" refreshedVersion="8" minRefreshableVersion="3" recordCount="0" supportSubquery="1" supportAdvancedDrill="1" xr:uid="{613BDC65-F5B9-4CA3-B26F-FBC2A8130D65}">
  <cacheSource type="external" connectionId="2"/>
  <cacheFields count="3">
    <cacheField name="[Table3].[DepartmentName].[DepartmentName]" caption="DepartmentName" numFmtId="0" hierarchy="20" level="1">
      <sharedItems count="7">
        <s v="Admin"/>
        <s v="Finance"/>
        <s v="HR"/>
        <s v="IT"/>
        <s v="Legal"/>
        <s v="Marketing"/>
        <s v="Sales"/>
      </sharedItems>
    </cacheField>
    <cacheField name="[Measures].[Average of Salary_NG]" caption="Average of Salary_NG" numFmtId="0" hierarchy="32" level="32767"/>
    <cacheField name="[Cleaned_data].[Hire_year].[Hire_year]" caption="Hire_year" numFmtId="0" hierarchy="18" level="1">
      <sharedItems containsSemiMixedTypes="0" containsNonDate="0" containsString="0"/>
    </cacheField>
  </cacheFields>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0"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0" memberValueDatatype="20" unbalanced="0"/>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0" memberValueDatatype="130" unbalanced="0"/>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Tenure_year]" caption="Tenure_year" attribute="1" defaultMemberUniqueName="[Cleaned_data].[Tenure_year].[All]" allUniqueName="[Cleaned_data].[Tenure_year].[All]" dimensionUniqueName="[Cleaned_data]" displayFolder="" count="0"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0"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fieldsUsage count="2">
        <fieldUsage x="-1"/>
        <fieldUsage x="2"/>
      </fieldsUsage>
    </cacheHierarchy>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2" memberValueDatatype="130" unbalanced="0">
      <fieldsUsage count="2">
        <fieldUsage x="-1"/>
        <fieldUsage x="0"/>
      </fieldsUsage>
    </cacheHierarchy>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hidden="1">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dimensions count="4">
    <dimension name="Cleaned_data" uniqueName="[Cleaned_data]" caption="Cleaned_data"/>
    <dimension measure="1" name="Measures" uniqueName="[Measures]" caption="Measures"/>
    <dimension name="Table3" uniqueName="[Table3]" caption="Table3"/>
    <dimension name="Table4" uniqueName="[Table4]" caption="Table4"/>
  </dimensions>
  <measureGroups count="3">
    <measureGroup name="Cleaned_data" caption="Cleaned_data"/>
    <measureGroup name="Table3" caption="Table3"/>
    <measureGroup name="Table4" caption="Table4"/>
  </measureGroups>
  <maps count="5">
    <map measureGroup="0" dimension="0"/>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refreshedDate="46169.404387962961" backgroundQuery="1" createdVersion="3" refreshedVersion="8" minRefreshableVersion="3" recordCount="0" supportSubquery="1" supportAdvancedDrill="1" xr:uid="{30C5D0D2-894B-4675-8488-5B716FF16FD9}">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Cleaned_data].[Employee_ID]" caption="Employee_ID" attribute="1" defaultMemberUniqueName="[Cleaned_data].[Employee_ID].[All]" allUniqueName="[Cleaned_data].[Employee_ID].[All]" dimensionUniqueName="[Cleaned_data]" displayFolder="" count="0" memberValueDatatype="130" unbalanced="0"/>
    <cacheHierarchy uniqueName="[Cleaned_data].[Full_Name]" caption="Full_Name" attribute="1" defaultMemberUniqueName="[Cleaned_data].[Full_Name].[All]" allUniqueName="[Cleaned_data].[Full_Name].[All]" dimensionUniqueName="[Cleaned_data]" displayFolder="" count="0" memberValueDatatype="130" unbalanced="0"/>
    <cacheHierarchy uniqueName="[Cleaned_data].[Department]" caption="Department" attribute="1" defaultMemberUniqueName="[Cleaned_data].[Department].[All]" allUniqueName="[Cleaned_data].[Department].[All]" dimensionUniqueName="[Cleaned_data]" displayFolder="" count="0" memberValueDatatype="130" unbalanced="0"/>
    <cacheHierarchy uniqueName="[Cleaned_data].[Job_Title]" caption="Job_Title" attribute="1" defaultMemberUniqueName="[Cleaned_data].[Job_Title].[All]" allUniqueName="[Cleaned_data].[Job_Title].[All]" dimensionUniqueName="[Cleaned_data]" displayFolder="" count="0"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Date_Hired]" caption="Date_Hired" attribute="1" time="1" defaultMemberUniqueName="[Cleaned_data].[Date_Hired].[All]" allUniqueName="[Cleaned_data].[Date_Hired].[All]" dimensionUniqueName="[Cleaned_data]" displayFolder="" count="0" memberValueDatatype="7" unbalanced="0"/>
    <cacheHierarchy uniqueName="[Cleaned_data].[Date_Left]" caption="Date_Left" attribute="1" time="1" defaultMemberUniqueName="[Cleaned_data].[Date_Left].[All]" allUniqueName="[Cleaned_data].[Date_Left].[All]" dimensionUniqueName="[Cleaned_data]" displayFolder="" count="0" memberValueDatatype="7" unbalanced="0"/>
    <cacheHierarchy uniqueName="[Cleaned_data].[Employment_Status]" caption="Employment_Status" attribute="1" defaultMemberUniqueName="[Cleaned_data].[Employment_Status].[All]" allUniqueName="[Cleaned_data].[Employment_Status].[All]" dimensionUniqueName="[Cleaned_data]" displayFolder="" count="2" memberValueDatatype="130" unbalanced="0"/>
    <cacheHierarchy uniqueName="[Cleaned_data].[Performance_Score]" caption="Performance_Score" attribute="1" defaultMemberUniqueName="[Cleaned_data].[Performance_Score].[All]" allUniqueName="[Cleaned_data].[Performance_Score].[All]" dimensionUniqueName="[Cleaned_data]" displayFolder="" count="0" memberValueDatatype="20" unbalanced="0"/>
    <cacheHierarchy uniqueName="[Cleaned_data].[Column1]" caption="Column1" attribute="1" defaultMemberUniqueName="[Cleaned_data].[Column1].[All]" allUniqueName="[Cleaned_data].[Column1].[All]" dimensionUniqueName="[Cleaned_data]" displayFolder="" count="0" memberValueDatatype="130" unbalanced="0"/>
    <cacheHierarchy uniqueName="[Cleaned_data].[Years_Experience]" caption="Years_Experience" attribute="1" defaultMemberUniqueName="[Cleaned_data].[Years_Experience].[All]" allUniqueName="[Cleaned_data].[Years_Experience].[All]" dimensionUniqueName="[Cleaned_data]" displayFolder="" count="0" memberValueDatatype="5" unbalanced="0"/>
    <cacheHierarchy uniqueName="[Cleaned_data].[Education_Level]" caption="Education_Level" attribute="1" defaultMemberUniqueName="[Cleaned_data].[Education_Level].[All]" allUniqueName="[Cleaned_data].[Education_Level].[All]" dimensionUniqueName="[Cleaned_data]" displayFolder="" count="0" memberValueDatatype="130" unbalanced="0"/>
    <cacheHierarchy uniqueName="[Cleaned_data].[Salary_NG]" caption="Salary_NG" attribute="1" defaultMemberUniqueName="[Cleaned_data].[Salary_NG].[All]" allUniqueName="[Cleaned_data].[Salary_NG].[All]" dimensionUniqueName="[Cleaned_data]" displayFolder="" count="0" memberValueDatatype="5" unbalanced="0"/>
    <cacheHierarchy uniqueName="[Cleaned_data].[Attrition]" caption="Attrition" attribute="1" defaultMemberUniqueName="[Cleaned_data].[Attrition].[All]" allUniqueName="[Cleaned_data].[Attrition].[All]" dimensionUniqueName="[Cleaned_data]" displayFolder="" count="0" memberValueDatatype="130" unbalanced="0"/>
    <cacheHierarchy uniqueName="[Cleaned_data].[Tenure_year]" caption="Tenure_year" attribute="1" defaultMemberUniqueName="[Cleaned_data].[Tenure_year].[All]" allUniqueName="[Cleaned_data].[Tenure_year].[All]" dimensionUniqueName="[Cleaned_data]" displayFolder="" count="2" memberValueDatatype="5" unbalanced="0"/>
    <cacheHierarchy uniqueName="[Cleaned_data].[Age_Group]" caption="Age_Group" attribute="1" defaultMemberUniqueName="[Cleaned_data].[Age_Group].[All]" allUniqueName="[Cleaned_data].[Age_Group].[All]" dimensionUniqueName="[Cleaned_data]" displayFolder="" count="2" memberValueDatatype="130" unbalanced="0"/>
    <cacheHierarchy uniqueName="[Cleaned_data].[Salary_bamd]" caption="Salary_bamd" attribute="1" defaultMemberUniqueName="[Cleaned_data].[Salary_bamd].[All]" allUniqueName="[Cleaned_data].[Salary_bamd].[All]" dimensionUniqueName="[Cleaned_data]" displayFolder="" count="0" memberValueDatatype="130" unbalanced="0"/>
    <cacheHierarchy uniqueName="[Cleaned_data].[Hire_year]" caption="Hire_year" attribute="1" defaultMemberUniqueName="[Cleaned_data].[Hire_year].[All]" allUniqueName="[Cleaned_data].[Hire_year].[All]" dimensionUniqueName="[Cleaned_data]" displayFolder="" count="2" memberValueDatatype="20" unbalanced="0"/>
    <cacheHierarchy uniqueName="[Table3].[DepartmentID]" caption="DepartmentID" attribute="1" defaultMemberUniqueName="[Table3].[DepartmentID].[All]" allUniqueName="[Table3].[DepartmentID].[All]" dimensionUniqueName="[Table3]" displayFolder="" count="0" memberValueDatatype="130" unbalanced="0"/>
    <cacheHierarchy uniqueName="[Table3].[DepartmentName]" caption="DepartmentName" attribute="1" defaultMemberUniqueName="[Table3].[DepartmentName].[All]" allUniqueName="[Table3].[DepartmentName].[All]" dimensionUniqueName="[Table3]" displayFolder="" count="0" memberValueDatatype="130" unbalanced="0"/>
    <cacheHierarchy uniqueName="[Table3].[DepartmentHead]" caption="DepartmentHead" attribute="1" defaultMemberUniqueName="[Table3].[DepartmentHead].[All]" allUniqueName="[Table3].[DepartmentHead].[All]" dimensionUniqueName="[Table3]" displayFolder="" count="0" memberValueDatatype="130" unbalanced="0"/>
    <cacheHierarchy uniqueName="[Table4].[Employee_ID]" caption="Employee_ID" attribute="1" defaultMemberUniqueName="[Table4].[Employee_ID].[All]" allUniqueName="[Table4].[Employee_ID].[All]" dimensionUniqueName="[Table4]" displayFolder="" count="0" memberValueDatatype="130" unbalanced="0"/>
    <cacheHierarchy uniqueName="[Table4].[Performance_Score]" caption="Performance_Score" attribute="1" defaultMemberUniqueName="[Table4].[Performance_Score].[All]" allUniqueName="[Table4].[Performance_Score].[All]" dimensionUniqueName="[Table4]" displayFolder="" count="0" memberValueDatatype="20" unbalanced="0"/>
    <cacheHierarchy uniqueName="[Table4].[Years_Experience]" caption="Years_Experience" attribute="1" defaultMemberUniqueName="[Table4].[Years_Experience].[All]" allUniqueName="[Table4].[Years_Experience].[All]" dimensionUniqueName="[Table4]" displayFolder="" count="0" memberValueDatatype="5" unbalanced="0"/>
    <cacheHierarchy uniqueName="[Table4].[Attrition]" caption="Attrition" attribute="1" defaultMemberUniqueName="[Table4].[Attrition].[All]" allUniqueName="[Table4].[Attrition].[All]" dimensionUniqueName="[Table4]" displayFolder="" count="0" memberValueDatatype="130" unbalanced="0"/>
    <cacheHierarchy uniqueName="[Measures].[__XL_Count Table3]" caption="__XL_Count Table3" measure="1" displayFolder="" measureGroup="Table3" count="0" hidden="1"/>
    <cacheHierarchy uniqueName="[Measures].[__XL_Count Cleaned_data]" caption="__XL_Count Cleaned_data" measure="1" displayFolder="" measureGroup="Cleaned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_ID]" caption="Count of Employee_ID" measure="1" displayFolder="" measureGroup="Cleaned_data" count="0" hidden="1">
      <extLst>
        <ext xmlns:x15="http://schemas.microsoft.com/office/spreadsheetml/2010/11/main" uri="{B97F6D7D-B522-45F9-BDA1-12C45D357490}">
          <x15:cacheHierarchy aggregatedColumn="0"/>
        </ext>
      </extLst>
    </cacheHierarchy>
    <cacheHierarchy uniqueName="[Measures].[Sum of Salary_NG]" caption="Sum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Average of Salary_NG]" caption="Average of Salary_NG" measure="1" displayFolder="" measureGroup="Cleaned_data" count="0" hidden="1">
      <extLst>
        <ext xmlns:x15="http://schemas.microsoft.com/office/spreadsheetml/2010/11/main" uri="{B97F6D7D-B522-45F9-BDA1-12C45D357490}">
          <x15:cacheHierarchy aggregatedColumn="13"/>
        </ext>
      </extLst>
    </cacheHierarchy>
    <cacheHierarchy uniqueName="[Measures].[Distinct Count of Employee_ID]" caption="Distinct Count of Employee_ID" measure="1" displayFolder="" measureGroup="Cleaned_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5804034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MP-4001"/>
    <s v="Jide Garba"/>
    <x v="0"/>
    <s v="Director"/>
    <s v="Male"/>
    <n v="29"/>
    <d v="2020-08-22T00:00:00"/>
    <m/>
    <s v="Active"/>
    <n v="5"/>
    <m/>
    <n v="4.8"/>
    <s v="OND"/>
    <n v="872210.52"/>
    <x v="0"/>
    <n v="5.8"/>
    <x v="0"/>
    <x v="0"/>
    <x v="0"/>
  </r>
  <r>
    <s v="EMP-4002"/>
    <s v="Tayo Okonkwo"/>
    <x v="1"/>
    <s v="Analyst"/>
    <s v="Female"/>
    <n v="33"/>
    <d v="2023-06-12T00:00:00"/>
    <d v="2026-10-12T00:00:00"/>
    <s v="Terminated"/>
    <n v="3"/>
    <m/>
    <n v="2.2999999999999998"/>
    <s v="OND"/>
    <n v="339681.12"/>
    <x v="1"/>
    <n v="3.3"/>
    <x v="1"/>
    <x v="1"/>
    <x v="1"/>
  </r>
  <r>
    <s v="EMP-4003"/>
    <s v="Jide Musa"/>
    <x v="0"/>
    <s v="Director"/>
    <s v="Male"/>
    <n v="26"/>
    <d v="2019-06-16T00:00:00"/>
    <d v="2023-11-09T00:00:00"/>
    <s v="Terminated"/>
    <n v="5"/>
    <m/>
    <n v="1.5"/>
    <s v="MSc"/>
    <n v="925355.42"/>
    <x v="1"/>
    <n v="4.4000000000000004"/>
    <x v="0"/>
    <x v="0"/>
    <x v="2"/>
  </r>
  <r>
    <s v="EMP-4004"/>
    <s v="Emeka Mohammed"/>
    <x v="2"/>
    <s v="Specialist"/>
    <s v="Male"/>
    <n v="56"/>
    <d v="2019-08-08T00:00:00"/>
    <m/>
    <s v="Active"/>
    <n v="5"/>
    <m/>
    <n v="19.5"/>
    <s v="HND"/>
    <n v="970438.15"/>
    <x v="0"/>
    <n v="6.8"/>
    <x v="2"/>
    <x v="0"/>
    <x v="2"/>
  </r>
  <r>
    <s v="EMP-4005"/>
    <s v="Tayo Adeleke"/>
    <x v="3"/>
    <s v="Director"/>
    <s v="Male"/>
    <n v="58"/>
    <d v="2021-08-26T00:00:00"/>
    <m/>
    <s v="Active"/>
    <n v="4"/>
    <m/>
    <n v="0.3"/>
    <s v="BSc"/>
    <n v="276446.95"/>
    <x v="0"/>
    <n v="4.8"/>
    <x v="2"/>
    <x v="2"/>
    <x v="3"/>
  </r>
  <r>
    <s v="EMP-4006"/>
    <s v="Amaka Musa"/>
    <x v="4"/>
    <s v="Executive"/>
    <s v="Female"/>
    <n v="29"/>
    <d v="2020-06-09T00:00:00"/>
    <d v="2024-02-01T00:00:00"/>
    <s v="Terminated"/>
    <n v="4"/>
    <m/>
    <n v="16.5"/>
    <s v="BSc"/>
    <n v="159457.66"/>
    <x v="1"/>
    <n v="3.6"/>
    <x v="0"/>
    <x v="2"/>
    <x v="0"/>
  </r>
  <r>
    <s v="EMP-4007"/>
    <s v="Seun Okafor"/>
    <x v="2"/>
    <s v="Analyst"/>
    <s v="Female"/>
    <n v="44"/>
    <d v="2023-07-29T00:00:00"/>
    <d v="2027-04-17T00:00:00"/>
    <s v="Resigned"/>
    <n v="4"/>
    <m/>
    <n v="2.9"/>
    <s v="BSc"/>
    <n v="168321.51"/>
    <x v="1"/>
    <n v="3.7"/>
    <x v="3"/>
    <x v="2"/>
    <x v="1"/>
  </r>
  <r>
    <s v="EMP-4008"/>
    <s v="Chidi Adeyemi"/>
    <x v="2"/>
    <s v="Specialist"/>
    <s v="Male"/>
    <n v="46"/>
    <d v="2021-09-02T00:00:00"/>
    <m/>
    <s v="Active"/>
    <n v="2"/>
    <m/>
    <n v="5.2"/>
    <s v="BSc"/>
    <n v="1294403.69"/>
    <x v="0"/>
    <n v="4.7"/>
    <x v="3"/>
    <x v="3"/>
    <x v="3"/>
  </r>
  <r>
    <s v="EMP-4009"/>
    <s v="Tobi Osei"/>
    <x v="5"/>
    <s v="Analyst"/>
    <s v="Male"/>
    <n v="36"/>
    <d v="2022-10-06T00:00:00"/>
    <m/>
    <s v="Active"/>
    <n v="5"/>
    <m/>
    <n v="14.2"/>
    <s v="MSc"/>
    <n v="618413.71"/>
    <x v="0"/>
    <n v="3.6"/>
    <x v="1"/>
    <x v="1"/>
    <x v="4"/>
  </r>
  <r>
    <s v="EMP-4010"/>
    <s v="Ngozi Nwosu"/>
    <x v="2"/>
    <s v="Specialist"/>
    <s v="Female"/>
    <n v="40"/>
    <d v="2022-01-13T00:00:00"/>
    <m/>
    <s v="Active"/>
    <n v="2"/>
    <m/>
    <n v="0.4"/>
    <s v="PhD"/>
    <n v="724307.49"/>
    <x v="0"/>
    <n v="4.4000000000000004"/>
    <x v="1"/>
    <x v="0"/>
    <x v="4"/>
  </r>
  <r>
    <s v="EMP-4011"/>
    <s v="Yusuf Adeleke"/>
    <x v="4"/>
    <s v="Senior Analyst"/>
    <s v="Male"/>
    <n v="27"/>
    <d v="2022-09-11T00:00:00"/>
    <d v="2026-01-18T00:00:00"/>
    <s v="Resigned"/>
    <n v="4"/>
    <m/>
    <n v="3.3"/>
    <s v="PhD"/>
    <n v="1043803.98"/>
    <x v="1"/>
    <n v="3.4"/>
    <x v="0"/>
    <x v="3"/>
    <x v="4"/>
  </r>
  <r>
    <s v="EMP-4012"/>
    <s v="Zainab Abiodun"/>
    <x v="6"/>
    <s v="Associate"/>
    <s v="Male"/>
    <n v="49"/>
    <d v="2023-09-29T00:00:00"/>
    <m/>
    <s v="Active"/>
    <n v="1"/>
    <m/>
    <n v="17.2"/>
    <s v="HND"/>
    <n v="1307309.75"/>
    <x v="0"/>
    <n v="2.7"/>
    <x v="3"/>
    <x v="3"/>
    <x v="1"/>
  </r>
  <r>
    <s v="EMP-4013"/>
    <s v="Emeka Eze"/>
    <x v="1"/>
    <s v="Executive"/>
    <s v="Female"/>
    <n v="55"/>
    <d v="2021-03-18T00:00:00"/>
    <m/>
    <s v="Active"/>
    <n v="3"/>
    <m/>
    <n v="7.6"/>
    <s v="OND"/>
    <n v="648584.73"/>
    <x v="0"/>
    <n v="5.2"/>
    <x v="2"/>
    <x v="1"/>
    <x v="3"/>
  </r>
  <r>
    <s v="EMP-4014"/>
    <s v="Zainab Mohammed"/>
    <x v="1"/>
    <s v="Manager"/>
    <s v="Male"/>
    <n v="30"/>
    <d v="2021-01-07T00:00:00"/>
    <d v="2025-05-31T00:00:00"/>
    <s v="Resigned"/>
    <n v="5"/>
    <m/>
    <n v="12.5"/>
    <s v="OND"/>
    <n v="381203.33"/>
    <x v="1"/>
    <n v="4.4000000000000004"/>
    <x v="1"/>
    <x v="1"/>
    <x v="3"/>
  </r>
  <r>
    <s v="EMP-4015"/>
    <s v="Chisom Adeleke"/>
    <x v="4"/>
    <s v="Manager"/>
    <s v="Male"/>
    <n v="39"/>
    <d v="2023-06-16T00:00:00"/>
    <m/>
    <s v="Active"/>
    <n v="3"/>
    <m/>
    <n v="1.2"/>
    <s v="OND"/>
    <n v="718000"/>
    <x v="0"/>
    <n v="2.9"/>
    <x v="1"/>
    <x v="0"/>
    <x v="1"/>
  </r>
  <r>
    <s v="EMP-4016"/>
    <s v="Sade Suleiman"/>
    <x v="2"/>
    <s v="Coordinator"/>
    <s v="Male"/>
    <n v="45"/>
    <d v="2021-07-19T00:00:00"/>
    <d v="2026-03-04T00:00:00"/>
    <s v="Resigned"/>
    <n v="2"/>
    <m/>
    <n v="9.9"/>
    <s v="OND"/>
    <n v="146963.95000000001"/>
    <x v="1"/>
    <n v="4.5999999999999996"/>
    <x v="3"/>
    <x v="2"/>
    <x v="3"/>
  </r>
  <r>
    <s v="EMP-4017"/>
    <s v="Yusuf Danjuma"/>
    <x v="4"/>
    <s v="Manager"/>
    <s v="Male"/>
    <n v="46"/>
    <d v="2023-05-20T00:00:00"/>
    <m/>
    <s v="Active"/>
    <n v="3"/>
    <m/>
    <n v="16.399999999999999"/>
    <s v="HND"/>
    <n v="1387642.98"/>
    <x v="0"/>
    <n v="3"/>
    <x v="3"/>
    <x v="3"/>
    <x v="1"/>
  </r>
  <r>
    <s v="EMP-4018"/>
    <s v="Tobi Mohammed"/>
    <x v="2"/>
    <s v="Analyst"/>
    <s v="Female"/>
    <n v="54"/>
    <d v="2023-01-04T00:00:00"/>
    <m/>
    <s v="Active"/>
    <n v="0"/>
    <m/>
    <n v="10.8"/>
    <s v="MSc"/>
    <n v="1127352.8600000001"/>
    <x v="0"/>
    <n v="3.4"/>
    <x v="2"/>
    <x v="3"/>
    <x v="1"/>
  </r>
  <r>
    <s v="EMP-4019"/>
    <s v="Emeka Musa"/>
    <x v="0"/>
    <s v="Director"/>
    <s v="Female"/>
    <n v="58"/>
    <d v="2021-06-13T00:00:00"/>
    <d v="2024-02-09T00:00:00"/>
    <s v="Resigned"/>
    <n v="1"/>
    <m/>
    <n v="4.2"/>
    <s v="OND"/>
    <n v="650714.81999999995"/>
    <x v="1"/>
    <n v="2.7"/>
    <x v="2"/>
    <x v="1"/>
    <x v="3"/>
  </r>
  <r>
    <s v="EMP-4020"/>
    <s v="Zainab Garba"/>
    <x v="7"/>
    <s v="Associate"/>
    <s v="Male"/>
    <n v="54"/>
    <d v="2021-10-23T00:00:00"/>
    <m/>
    <s v="Active"/>
    <n v="3"/>
    <m/>
    <n v="7.1"/>
    <s v="MSc"/>
    <n v="992561.84"/>
    <x v="0"/>
    <n v="4.5999999999999996"/>
    <x v="2"/>
    <x v="0"/>
    <x v="3"/>
  </r>
  <r>
    <s v="EMP-4021"/>
    <s v="Tobi Fashola"/>
    <x v="5"/>
    <s v="Coordinator"/>
    <s v="Female"/>
    <n v="40"/>
    <d v="2020-09-12T00:00:00"/>
    <m/>
    <s v="Active"/>
    <n v="1"/>
    <m/>
    <n v="9.6"/>
    <s v="BSc"/>
    <n v="1068311.98"/>
    <x v="0"/>
    <n v="5.7"/>
    <x v="1"/>
    <x v="3"/>
    <x v="0"/>
  </r>
  <r>
    <s v="EMP-4022"/>
    <s v="Jide Okafor"/>
    <x v="5"/>
    <s v="Analyst"/>
    <s v="Female"/>
    <n v="48"/>
    <d v="2021-06-04T00:00:00"/>
    <m/>
    <s v="Active"/>
    <n v="4"/>
    <m/>
    <n v="17.5"/>
    <s v="BSc"/>
    <n v="955755.03"/>
    <x v="0"/>
    <n v="5"/>
    <x v="3"/>
    <x v="0"/>
    <x v="3"/>
  </r>
  <r>
    <s v="EMP-4023"/>
    <s v="Olu Fashola"/>
    <x v="6"/>
    <s v="Specialist"/>
    <s v="Female"/>
    <n v="32"/>
    <d v="2021-03-02T00:00:00"/>
    <m/>
    <s v="Active"/>
    <n v="5"/>
    <m/>
    <n v="15"/>
    <s v="BSc"/>
    <n v="866969.06"/>
    <x v="0"/>
    <n v="5.2"/>
    <x v="1"/>
    <x v="0"/>
    <x v="3"/>
  </r>
  <r>
    <s v="EMP-4024"/>
    <s v="Sade Okafor"/>
    <x v="1"/>
    <s v="Specialist"/>
    <s v="Female"/>
    <n v="58"/>
    <d v="2019-02-12T00:00:00"/>
    <m/>
    <s v="Active"/>
    <n v="3"/>
    <m/>
    <n v="13.1"/>
    <s v="OND"/>
    <n v="631365.69999999995"/>
    <x v="0"/>
    <n v="7.3"/>
    <x v="2"/>
    <x v="1"/>
    <x v="2"/>
  </r>
  <r>
    <s v="EMP-4025"/>
    <s v="Halima Fashola"/>
    <x v="7"/>
    <s v="Senior Analyst"/>
    <s v="Male"/>
    <n v="50"/>
    <d v="2022-12-02T00:00:00"/>
    <d v="2024-05-03T00:00:00"/>
    <s v="Resigned"/>
    <n v="3"/>
    <m/>
    <n v="6.9"/>
    <s v="BSc"/>
    <n v="779793.35"/>
    <x v="1"/>
    <n v="1.4"/>
    <x v="3"/>
    <x v="0"/>
    <x v="4"/>
  </r>
  <r>
    <s v="EMP-4026"/>
    <s v="Jide Balogun"/>
    <x v="5"/>
    <s v="Executive"/>
    <s v="Female"/>
    <n v="23"/>
    <d v="2021-08-28T00:00:00"/>
    <m/>
    <s v="Active"/>
    <n v="4"/>
    <m/>
    <n v="4.5999999999999996"/>
    <s v="OND"/>
    <n v="803839.55"/>
    <x v="0"/>
    <n v="4.7"/>
    <x v="0"/>
    <x v="0"/>
    <x v="3"/>
  </r>
  <r>
    <s v="EMP-4027"/>
    <s v="Amaka Musa"/>
    <x v="2"/>
    <s v="Associate"/>
    <s v="Male"/>
    <n v="27"/>
    <d v="2019-03-04T00:00:00"/>
    <m/>
    <s v="Active"/>
    <n v="4"/>
    <m/>
    <n v="5.6"/>
    <s v="HND"/>
    <n v="588950.28"/>
    <x v="0"/>
    <n v="7.2"/>
    <x v="0"/>
    <x v="1"/>
    <x v="2"/>
  </r>
  <r>
    <s v="EMP-4028"/>
    <s v="Yusuf Eze"/>
    <x v="7"/>
    <s v="Director"/>
    <s v="Male"/>
    <n v="58"/>
    <d v="2023-01-07T00:00:00"/>
    <d v="2024-07-06T00:00:00"/>
    <s v="Resigned"/>
    <n v="3"/>
    <m/>
    <n v="1.1000000000000001"/>
    <s v="OND"/>
    <n v="473873.91"/>
    <x v="1"/>
    <n v="1.5"/>
    <x v="2"/>
    <x v="1"/>
    <x v="1"/>
  </r>
  <r>
    <s v="EMP-4029"/>
    <s v="Musa Mohammed"/>
    <x v="0"/>
    <s v="Executive"/>
    <s v="Female"/>
    <n v="52"/>
    <d v="2020-05-18T00:00:00"/>
    <m/>
    <s v="Active"/>
    <n v="4"/>
    <m/>
    <n v="14.5"/>
    <s v="OND"/>
    <n v="760893.91"/>
    <x v="0"/>
    <n v="6"/>
    <x v="2"/>
    <x v="0"/>
    <x v="0"/>
  </r>
  <r>
    <s v="EMP-4030"/>
    <s v="Olu Ibrahim"/>
    <x v="7"/>
    <s v="Senior Analyst"/>
    <s v="Male"/>
    <n v="53"/>
    <d v="2020-04-24T00:00:00"/>
    <m/>
    <s v="Active"/>
    <n v="5"/>
    <m/>
    <n v="-1.2"/>
    <s v="HND"/>
    <n v="718000"/>
    <x v="0"/>
    <n v="6.1"/>
    <x v="2"/>
    <x v="0"/>
    <x v="0"/>
  </r>
  <r>
    <s v="EMP-4031"/>
    <s v="Emeka Musa"/>
    <x v="7"/>
    <s v="Executive"/>
    <s v="Male"/>
    <n v="23"/>
    <d v="2019-04-02T00:00:00"/>
    <m/>
    <s v="Active"/>
    <n v="2"/>
    <m/>
    <n v="15.5"/>
    <s v="OND"/>
    <n v="1434665.5"/>
    <x v="0"/>
    <n v="7.2"/>
    <x v="0"/>
    <x v="3"/>
    <x v="2"/>
  </r>
  <r>
    <s v="EMP-4032"/>
    <s v="Chidi Danjuma"/>
    <x v="2"/>
    <s v="Director"/>
    <s v="Female"/>
    <n v="36"/>
    <d v="2022-05-18T00:00:00"/>
    <m/>
    <s v="Active"/>
    <n v="3"/>
    <m/>
    <n v="6.6"/>
    <s v="BSc"/>
    <n v="1188750.06"/>
    <x v="0"/>
    <n v="4"/>
    <x v="1"/>
    <x v="3"/>
    <x v="4"/>
  </r>
  <r>
    <s v="EMP-4033"/>
    <s v="Emeka Musa"/>
    <x v="6"/>
    <s v="Senior Analyst"/>
    <s v="Female"/>
    <n v="52"/>
    <d v="2021-04-18T00:00:00"/>
    <m/>
    <s v="Active"/>
    <n v="1"/>
    <m/>
    <n v="1"/>
    <s v="BSc"/>
    <n v="122359.87"/>
    <x v="0"/>
    <n v="5.0999999999999996"/>
    <x v="2"/>
    <x v="2"/>
    <x v="3"/>
  </r>
  <r>
    <s v="EMP-4034"/>
    <s v="Ada Musa"/>
    <x v="1"/>
    <s v="Specialist"/>
    <s v="Male"/>
    <n v="39"/>
    <d v="2021-05-16T00:00:00"/>
    <d v="2024-12-02T00:00:00"/>
    <s v="Resigned"/>
    <n v="4"/>
    <m/>
    <n v="0.7"/>
    <s v="HND"/>
    <n v="946761.29"/>
    <x v="1"/>
    <n v="3.6"/>
    <x v="1"/>
    <x v="0"/>
    <x v="3"/>
  </r>
  <r>
    <s v="EMP-4035"/>
    <s v="Olu Osei"/>
    <x v="2"/>
    <s v="Senior Analyst"/>
    <s v="Male"/>
    <n v="40"/>
    <d v="2019-08-24T00:00:00"/>
    <d v="2022-03-15T00:00:00"/>
    <s v="Terminated"/>
    <n v="3"/>
    <m/>
    <n v="5.4"/>
    <s v="MSc"/>
    <n v="101757.79"/>
    <x v="1"/>
    <n v="2.6"/>
    <x v="1"/>
    <x v="2"/>
    <x v="2"/>
  </r>
  <r>
    <s v="EMP-4036"/>
    <s v="Blessing Nwosu"/>
    <x v="7"/>
    <s v="Senior Analyst"/>
    <s v="Male"/>
    <n v="57"/>
    <d v="2022-09-10T00:00:00"/>
    <d v="2027-05-25T00:00:00"/>
    <s v="Terminated"/>
    <n v="0"/>
    <m/>
    <n v="14.2"/>
    <s v="BSc"/>
    <n v="1299874.53"/>
    <x v="1"/>
    <n v="4.7"/>
    <x v="2"/>
    <x v="3"/>
    <x v="4"/>
  </r>
  <r>
    <s v="EMP-4037"/>
    <s v="Chidi Danjuma"/>
    <x v="3"/>
    <s v="Director"/>
    <s v="Female"/>
    <n v="30"/>
    <d v="2019-09-11T00:00:00"/>
    <d v="2020-10-14T00:00:00"/>
    <s v="Terminated"/>
    <n v="2"/>
    <m/>
    <n v="12.7"/>
    <s v="PhD"/>
    <n v="1385149.04"/>
    <x v="1"/>
    <n v="1.1000000000000001"/>
    <x v="1"/>
    <x v="3"/>
    <x v="2"/>
  </r>
  <r>
    <s v="EMP-4038"/>
    <s v="Remi Nwosu"/>
    <x v="3"/>
    <s v="Manager"/>
    <s v="Male"/>
    <n v="23"/>
    <d v="2019-08-29T00:00:00"/>
    <m/>
    <s v="Active"/>
    <n v="3"/>
    <m/>
    <n v="8.4"/>
    <s v="PhD"/>
    <n v="118976.86"/>
    <x v="0"/>
    <n v="6.7"/>
    <x v="0"/>
    <x v="2"/>
    <x v="2"/>
  </r>
  <r>
    <s v="EMP-4039"/>
    <s v="Jide Balogun"/>
    <x v="0"/>
    <s v="Senior Analyst"/>
    <s v="Female"/>
    <n v="27"/>
    <d v="2022-12-25T00:00:00"/>
    <m/>
    <s v="Active"/>
    <n v="2"/>
    <m/>
    <n v="15.4"/>
    <s v="PhD"/>
    <n v="1122493.98"/>
    <x v="0"/>
    <n v="3.4"/>
    <x v="0"/>
    <x v="3"/>
    <x v="4"/>
  </r>
  <r>
    <s v="EMP-4040"/>
    <s v="Femi Suleiman"/>
    <x v="3"/>
    <s v="Analyst"/>
    <s v="Male"/>
    <n v="35"/>
    <d v="2019-03-19T00:00:00"/>
    <d v="2021-11-27T00:00:00"/>
    <s v="Terminated"/>
    <n v="5"/>
    <m/>
    <n v="3.1"/>
    <s v="OND"/>
    <n v="236697.58"/>
    <x v="1"/>
    <n v="2.7"/>
    <x v="1"/>
    <x v="2"/>
    <x v="2"/>
  </r>
  <r>
    <s v="EMP-4041"/>
    <s v="Ada Balogun"/>
    <x v="5"/>
    <s v="Coordinator"/>
    <s v="Female"/>
    <n v="30"/>
    <d v="2019-05-18T00:00:00"/>
    <m/>
    <s v="Active"/>
    <n v="4"/>
    <m/>
    <n v="15.5"/>
    <s v="HND"/>
    <n v="181814.04"/>
    <x v="0"/>
    <n v="7"/>
    <x v="1"/>
    <x v="2"/>
    <x v="2"/>
  </r>
  <r>
    <s v="EMP-4042"/>
    <s v="Femi Okafor"/>
    <x v="5"/>
    <s v="Director"/>
    <s v="Female"/>
    <n v="23"/>
    <d v="2021-04-19T00:00:00"/>
    <d v="2024-01-26T00:00:00"/>
    <s v="Terminated"/>
    <n v="1"/>
    <m/>
    <n v="19.899999999999999"/>
    <s v="BSc"/>
    <n v="441628.89"/>
    <x v="1"/>
    <n v="2.8"/>
    <x v="0"/>
    <x v="1"/>
    <x v="3"/>
  </r>
  <r>
    <s v="EMP-4043"/>
    <s v="Remi Okafor"/>
    <x v="4"/>
    <s v="Manager"/>
    <s v="Female"/>
    <n v="40"/>
    <d v="2019-07-14T00:00:00"/>
    <m/>
    <s v="Active"/>
    <n v="4"/>
    <m/>
    <n v="6.3"/>
    <s v="BSc"/>
    <n v="698048.35"/>
    <x v="0"/>
    <n v="6.9"/>
    <x v="1"/>
    <x v="1"/>
    <x v="2"/>
  </r>
  <r>
    <s v="EMP-4044"/>
    <s v="Zainab Danjuma"/>
    <x v="7"/>
    <s v="Coordinator"/>
    <s v="Female"/>
    <n v="23"/>
    <d v="2020-09-17T00:00:00"/>
    <d v="2022-10-08T00:00:00"/>
    <s v="Terminated"/>
    <n v="2"/>
    <m/>
    <n v="18.7"/>
    <s v="BSc"/>
    <n v="201579.78"/>
    <x v="1"/>
    <n v="2.1"/>
    <x v="0"/>
    <x v="2"/>
    <x v="0"/>
  </r>
  <r>
    <s v="EMP-4045"/>
    <s v="Ngozi Musa"/>
    <x v="2"/>
    <s v="Executive"/>
    <s v="Female"/>
    <n v="25"/>
    <d v="2023-12-25T00:00:00"/>
    <d v="2028-09-28T00:00:00"/>
    <s v="Terminated"/>
    <n v="3"/>
    <m/>
    <n v="4.7"/>
    <s v="HND"/>
    <n v="718000"/>
    <x v="1"/>
    <n v="4.8"/>
    <x v="0"/>
    <x v="0"/>
    <x v="1"/>
  </r>
  <r>
    <s v="EMP-4046"/>
    <s v="Tobi Adeyemi"/>
    <x v="4"/>
    <s v="Associate"/>
    <s v="Female"/>
    <n v="24"/>
    <d v="2021-06-03T00:00:00"/>
    <d v="2024-03-04T00:00:00"/>
    <s v="Terminated"/>
    <n v="3"/>
    <m/>
    <n v="1.6"/>
    <s v="BSc"/>
    <n v="967121.22"/>
    <x v="1"/>
    <n v="2.8"/>
    <x v="0"/>
    <x v="0"/>
    <x v="3"/>
  </r>
  <r>
    <s v="EMP-4047"/>
    <s v="Musa Adeyemi"/>
    <x v="3"/>
    <s v="Coordinator"/>
    <s v="Male"/>
    <n v="37"/>
    <d v="2021-03-15T00:00:00"/>
    <m/>
    <s v="Active"/>
    <n v="5"/>
    <m/>
    <n v="6.8"/>
    <s v="PhD"/>
    <n v="1048085.81"/>
    <x v="0"/>
    <n v="5.2"/>
    <x v="1"/>
    <x v="3"/>
    <x v="3"/>
  </r>
  <r>
    <s v="EMP-4048"/>
    <s v="Tayo Okonkwo"/>
    <x v="3"/>
    <s v="Associate"/>
    <s v="Female"/>
    <n v="34"/>
    <d v="2019-01-19T00:00:00"/>
    <m/>
    <s v="Active"/>
    <n v="1"/>
    <m/>
    <n v="1.9"/>
    <s v="PhD"/>
    <n v="1274595.54"/>
    <x v="0"/>
    <n v="7.4"/>
    <x v="1"/>
    <x v="3"/>
    <x v="2"/>
  </r>
  <r>
    <s v="EMP-4049"/>
    <s v="Zainab Eze"/>
    <x v="7"/>
    <s v="Executive"/>
    <s v="Male"/>
    <n v="36"/>
    <d v="2021-08-15T00:00:00"/>
    <m/>
    <s v="Active"/>
    <n v="2"/>
    <m/>
    <n v="15.5"/>
    <s v="HND"/>
    <n v="332588.59999999998"/>
    <x v="0"/>
    <n v="4.8"/>
    <x v="1"/>
    <x v="1"/>
    <x v="3"/>
  </r>
  <r>
    <s v="EMP-4050"/>
    <s v="Ada Adeleke"/>
    <x v="5"/>
    <s v="Associate"/>
    <s v="Male"/>
    <n v="49"/>
    <d v="2021-02-18T00:00:00"/>
    <d v="2022-09-04T00:00:00"/>
    <s v="Resigned"/>
    <n v="5"/>
    <m/>
    <n v="2"/>
    <s v="OND"/>
    <n v="1202518.95"/>
    <x v="1"/>
    <n v="1.5"/>
    <x v="3"/>
    <x v="3"/>
    <x v="3"/>
  </r>
  <r>
    <s v="EMP-4051"/>
    <s v="Chisom Danjuma"/>
    <x v="5"/>
    <s v="Director"/>
    <s v="Male"/>
    <n v="30"/>
    <d v="2021-04-02T00:00:00"/>
    <m/>
    <s v="Active"/>
    <n v="1"/>
    <m/>
    <n v="13.8"/>
    <s v="MSc"/>
    <n v="300519.62"/>
    <x v="0"/>
    <n v="5.2"/>
    <x v="1"/>
    <x v="1"/>
    <x v="3"/>
  </r>
  <r>
    <s v="EMP-4052"/>
    <s v="Remi Suleiman"/>
    <x v="4"/>
    <s v="Analyst"/>
    <s v="Female"/>
    <n v="52"/>
    <d v="2021-11-26T00:00:00"/>
    <d v="2025-01-14T00:00:00"/>
    <s v="Resigned"/>
    <n v="3"/>
    <m/>
    <n v="3.2"/>
    <s v="HND"/>
    <n v="134724.98000000001"/>
    <x v="1"/>
    <n v="3.1"/>
    <x v="2"/>
    <x v="2"/>
    <x v="3"/>
  </r>
  <r>
    <s v="EMP-4053"/>
    <s v="Chidi Adeleke"/>
    <x v="2"/>
    <s v="Senior Analyst"/>
    <s v="Female"/>
    <n v="29"/>
    <d v="2021-01-18T00:00:00"/>
    <m/>
    <s v="Active"/>
    <n v="4"/>
    <m/>
    <n v="18.399999999999999"/>
    <s v="OND"/>
    <n v="212867.47"/>
    <x v="0"/>
    <n v="5.4"/>
    <x v="0"/>
    <x v="2"/>
    <x v="3"/>
  </r>
  <r>
    <s v="EMP-4054"/>
    <s v="Sade Adeyemi"/>
    <x v="5"/>
    <s v="Manager"/>
    <s v="Male"/>
    <n v="52"/>
    <d v="2020-12-24T00:00:00"/>
    <m/>
    <s v="Active"/>
    <n v="10"/>
    <m/>
    <n v="18.8"/>
    <s v="MSc"/>
    <n v="443985.51"/>
    <x v="0"/>
    <n v="5.4"/>
    <x v="2"/>
    <x v="1"/>
    <x v="0"/>
  </r>
  <r>
    <s v="EMP-4055"/>
    <s v="Zainab Ibrahim"/>
    <x v="6"/>
    <s v="Specialist"/>
    <s v="Male"/>
    <n v="31"/>
    <d v="2023-09-13T00:00:00"/>
    <m/>
    <s v="Active"/>
    <n v="1"/>
    <m/>
    <n v="6.4"/>
    <s v="PhD"/>
    <n v="230025.85"/>
    <x v="0"/>
    <n v="2.7"/>
    <x v="1"/>
    <x v="2"/>
    <x v="1"/>
  </r>
  <r>
    <s v="EMP-4056"/>
    <s v="Yusuf Abiodun"/>
    <x v="0"/>
    <s v="Director"/>
    <s v="Male"/>
    <n v="50"/>
    <d v="2021-11-11T00:00:00"/>
    <m/>
    <s v="Active"/>
    <n v="1"/>
    <m/>
    <n v="14.9"/>
    <s v="MSc"/>
    <n v="233132.05"/>
    <x v="0"/>
    <n v="4.5"/>
    <x v="3"/>
    <x v="2"/>
    <x v="3"/>
  </r>
  <r>
    <s v="EMP-4057"/>
    <s v="Tobi Osei"/>
    <x v="5"/>
    <s v="Specialist"/>
    <s v="Male"/>
    <n v="58"/>
    <d v="2019-06-16T00:00:00"/>
    <d v="2021-11-27T00:00:00"/>
    <s v="Resigned"/>
    <n v="5"/>
    <m/>
    <n v="6"/>
    <s v="PhD"/>
    <n v="328330.82"/>
    <x v="1"/>
    <n v="2.5"/>
    <x v="2"/>
    <x v="1"/>
    <x v="2"/>
  </r>
  <r>
    <s v="EMP-4058"/>
    <s v="Amaka Suleiman"/>
    <x v="7"/>
    <s v="Executive"/>
    <s v="Male"/>
    <n v="28"/>
    <d v="2022-11-01T00:00:00"/>
    <d v="2026-08-17T00:00:00"/>
    <s v="Resigned"/>
    <n v="1"/>
    <m/>
    <n v="18.7"/>
    <s v="HND"/>
    <n v="1184149.05"/>
    <x v="1"/>
    <n v="3.8"/>
    <x v="0"/>
    <x v="3"/>
    <x v="4"/>
  </r>
  <r>
    <s v="EMP-4059"/>
    <s v="Blessing Eze"/>
    <x v="7"/>
    <s v="Manager"/>
    <s v="Female"/>
    <n v="42"/>
    <d v="2022-09-14T00:00:00"/>
    <m/>
    <s v="Active"/>
    <n v="1"/>
    <m/>
    <n v="0.9"/>
    <s v="OND"/>
    <n v="961567.63"/>
    <x v="0"/>
    <n v="3.7"/>
    <x v="3"/>
    <x v="0"/>
    <x v="4"/>
  </r>
  <r>
    <s v="EMP-4060"/>
    <s v="Ada Adeleke"/>
    <x v="4"/>
    <s v="Specialist"/>
    <s v="Male"/>
    <n v="46"/>
    <d v="2022-08-04T00:00:00"/>
    <m/>
    <s v="Active"/>
    <n v="2"/>
    <m/>
    <n v="-4.5999999999999996"/>
    <s v="PhD"/>
    <n v="718000"/>
    <x v="0"/>
    <n v="3.8"/>
    <x v="3"/>
    <x v="0"/>
    <x v="4"/>
  </r>
  <r>
    <s v="EMP-4061"/>
    <s v="Yusuf Nwosu"/>
    <x v="6"/>
    <s v="Senior Analyst"/>
    <s v="Male"/>
    <n v="51"/>
    <d v="2021-02-19T00:00:00"/>
    <m/>
    <s v="Active"/>
    <n v="2"/>
    <m/>
    <n v="9.6999999999999993"/>
    <s v="PhD"/>
    <n v="1018907.4"/>
    <x v="0"/>
    <n v="5.3"/>
    <x v="2"/>
    <x v="3"/>
    <x v="3"/>
  </r>
  <r>
    <s v="EMP-4062"/>
    <s v="Tobi Musa"/>
    <x v="7"/>
    <s v="Coordinator"/>
    <s v="Female"/>
    <n v="30"/>
    <d v="2022-05-04T00:00:00"/>
    <m/>
    <s v="Active"/>
    <n v="5"/>
    <m/>
    <n v="8.8000000000000007"/>
    <s v="OND"/>
    <n v="780556.51"/>
    <x v="0"/>
    <n v="4.0999999999999996"/>
    <x v="1"/>
    <x v="0"/>
    <x v="4"/>
  </r>
  <r>
    <s v="EMP-4063"/>
    <s v="Tayo Osei"/>
    <x v="3"/>
    <s v="Associate"/>
    <s v="Male"/>
    <n v="30"/>
    <d v="2022-03-24T00:00:00"/>
    <m/>
    <s v="Active"/>
    <n v="4"/>
    <m/>
    <n v="3.5"/>
    <s v="HND"/>
    <n v="408153.91"/>
    <x v="0"/>
    <n v="4.2"/>
    <x v="1"/>
    <x v="1"/>
    <x v="4"/>
  </r>
  <r>
    <s v="EMP-4064"/>
    <s v="Emeka Okonkwo"/>
    <x v="2"/>
    <s v="Coordinator"/>
    <s v="Female"/>
    <n v="36"/>
    <d v="2022-05-03T00:00:00"/>
    <m/>
    <s v="Active"/>
    <n v="5"/>
    <m/>
    <n v="12.4"/>
    <s v="PhD"/>
    <n v="687552.88"/>
    <x v="0"/>
    <n v="4.0999999999999996"/>
    <x v="1"/>
    <x v="1"/>
    <x v="4"/>
  </r>
  <r>
    <s v="EMP-4065"/>
    <s v="Tobi Okonkwo"/>
    <x v="5"/>
    <s v="Senior Analyst"/>
    <s v="Male"/>
    <n v="43"/>
    <d v="2020-04-17T00:00:00"/>
    <d v="2023-05-28T00:00:00"/>
    <s v="Terminated"/>
    <n v="2"/>
    <m/>
    <n v="12.4"/>
    <s v="OND"/>
    <n v="630800.52"/>
    <x v="1"/>
    <n v="3.1"/>
    <x v="3"/>
    <x v="1"/>
    <x v="0"/>
  </r>
  <r>
    <s v="EMP-4066"/>
    <s v="Seun Abiodun"/>
    <x v="6"/>
    <s v="Associate"/>
    <s v="Male"/>
    <n v="43"/>
    <d v="2019-01-29T00:00:00"/>
    <m/>
    <s v="Active"/>
    <n v="4"/>
    <m/>
    <n v="18.8"/>
    <s v="HND"/>
    <n v="1395490.7"/>
    <x v="0"/>
    <n v="7.3"/>
    <x v="3"/>
    <x v="3"/>
    <x v="2"/>
  </r>
  <r>
    <s v="EMP-4067"/>
    <s v="Jide Fashola"/>
    <x v="0"/>
    <s v="Specialist"/>
    <s v="Female"/>
    <n v="26"/>
    <d v="2019-04-25T00:00:00"/>
    <m/>
    <s v="Active"/>
    <n v="2"/>
    <m/>
    <n v="13.8"/>
    <s v="OND"/>
    <n v="1441418.56"/>
    <x v="0"/>
    <n v="7.1"/>
    <x v="0"/>
    <x v="3"/>
    <x v="2"/>
  </r>
  <r>
    <s v="EMP-4068"/>
    <s v="Blessing Adeleke"/>
    <x v="0"/>
    <s v="Senior Analyst"/>
    <s v="Male"/>
    <n v="39"/>
    <d v="2021-07-22T00:00:00"/>
    <m/>
    <s v="Active"/>
    <n v="1"/>
    <m/>
    <n v="8.4"/>
    <s v="MSc"/>
    <n v="672132.95"/>
    <x v="0"/>
    <n v="4.8"/>
    <x v="1"/>
    <x v="1"/>
    <x v="3"/>
  </r>
  <r>
    <s v="EMP-4069"/>
    <s v="Sade Nwosu"/>
    <x v="7"/>
    <s v="Manager"/>
    <s v="Female"/>
    <n v="44"/>
    <d v="2023-09-11T00:00:00"/>
    <d v="2026-05-06T00:00:00"/>
    <s v="Resigned"/>
    <n v="3"/>
    <m/>
    <n v="18.899999999999999"/>
    <s v="HND"/>
    <n v="940479.45"/>
    <x v="1"/>
    <n v="2.7"/>
    <x v="3"/>
    <x v="0"/>
    <x v="1"/>
  </r>
  <r>
    <s v="EMP-4070"/>
    <s v="Chidi Danjuma"/>
    <x v="6"/>
    <s v="Manager"/>
    <s v="Male"/>
    <n v="48"/>
    <d v="2019-06-22T00:00:00"/>
    <d v="2024-06-05T00:00:00"/>
    <s v="Terminated"/>
    <n v="3"/>
    <m/>
    <n v="11"/>
    <s v="BSc"/>
    <n v="1461221.2"/>
    <x v="1"/>
    <n v="5"/>
    <x v="3"/>
    <x v="3"/>
    <x v="2"/>
  </r>
  <r>
    <s v="EMP-4071"/>
    <s v="Emeka Ibrahim"/>
    <x v="0"/>
    <s v="Analyst"/>
    <s v="Male"/>
    <n v="35"/>
    <d v="2019-05-06T00:00:00"/>
    <d v="2023-12-25T00:00:00"/>
    <s v="Terminated"/>
    <n v="5"/>
    <m/>
    <n v="18.100000000000001"/>
    <s v="PhD"/>
    <n v="684195.57"/>
    <x v="1"/>
    <n v="4.5999999999999996"/>
    <x v="1"/>
    <x v="1"/>
    <x v="2"/>
  </r>
  <r>
    <s v="EMP-4072"/>
    <s v="Olu Suleiman"/>
    <x v="2"/>
    <s v="Coordinator"/>
    <s v="Female"/>
    <n v="43"/>
    <d v="2022-04-16T00:00:00"/>
    <d v="2024-05-23T00:00:00"/>
    <s v="Resigned"/>
    <n v="0"/>
    <m/>
    <n v="2.7"/>
    <s v="MSc"/>
    <n v="479788.22"/>
    <x v="1"/>
    <n v="2.1"/>
    <x v="3"/>
    <x v="1"/>
    <x v="4"/>
  </r>
  <r>
    <s v="EMP-4073"/>
    <s v="Halima Fashola"/>
    <x v="3"/>
    <s v="Specialist"/>
    <s v="Male"/>
    <n v="56"/>
    <d v="2021-04-13T00:00:00"/>
    <d v="2022-08-13T00:00:00"/>
    <s v="Terminated"/>
    <n v="1"/>
    <m/>
    <n v="12.4"/>
    <s v="OND"/>
    <n v="934800.46"/>
    <x v="1"/>
    <n v="1.3"/>
    <x v="2"/>
    <x v="0"/>
    <x v="3"/>
  </r>
  <r>
    <s v="EMP-4074"/>
    <s v="Chidi Okafor"/>
    <x v="4"/>
    <s v="Analyst"/>
    <s v="Male"/>
    <n v="58"/>
    <d v="2021-07-25T00:00:00"/>
    <m/>
    <s v="Active"/>
    <n v="1"/>
    <m/>
    <n v="14"/>
    <s v="BSc"/>
    <n v="1107539.26"/>
    <x v="0"/>
    <n v="4.8"/>
    <x v="2"/>
    <x v="3"/>
    <x v="3"/>
  </r>
  <r>
    <s v="EMP-4075"/>
    <s v="Chidi Okafor"/>
    <x v="7"/>
    <s v="Associate"/>
    <s v="Female"/>
    <n v="38"/>
    <d v="2020-04-07T00:00:00"/>
    <d v="2020-11-28T00:00:00"/>
    <s v="Resigned"/>
    <n v="2"/>
    <m/>
    <n v="16.600000000000001"/>
    <s v="PhD"/>
    <n v="718000"/>
    <x v="1"/>
    <n v="0.6"/>
    <x v="1"/>
    <x v="0"/>
    <x v="0"/>
  </r>
  <r>
    <s v="EMP-4076"/>
    <s v="Emeka Adeyemi"/>
    <x v="5"/>
    <s v="Director"/>
    <s v="Male"/>
    <n v="33"/>
    <d v="2020-05-09T00:00:00"/>
    <m/>
    <s v="Active"/>
    <n v="2"/>
    <m/>
    <n v="13.4"/>
    <s v="MSc"/>
    <n v="159893.42000000001"/>
    <x v="0"/>
    <n v="6.1"/>
    <x v="1"/>
    <x v="2"/>
    <x v="0"/>
  </r>
  <r>
    <s v="EMP-4077"/>
    <s v="Musa Nwosu"/>
    <x v="7"/>
    <s v="Manager"/>
    <s v="Female"/>
    <n v="40"/>
    <d v="2023-03-27T00:00:00"/>
    <m/>
    <s v="Active"/>
    <n v="1"/>
    <m/>
    <n v="5.9"/>
    <s v="BSc"/>
    <n v="1158196.58"/>
    <x v="0"/>
    <n v="3.2"/>
    <x v="1"/>
    <x v="3"/>
    <x v="1"/>
  </r>
  <r>
    <s v="EMP-4078"/>
    <s v="Jide Eze"/>
    <x v="7"/>
    <s v="Associate"/>
    <s v="Female"/>
    <n v="49"/>
    <d v="2022-09-02T00:00:00"/>
    <d v="2025-06-10T00:00:00"/>
    <s v="Resigned"/>
    <n v="1"/>
    <m/>
    <n v="19"/>
    <s v="OND"/>
    <n v="1065867.54"/>
    <x v="1"/>
    <n v="2.8"/>
    <x v="3"/>
    <x v="3"/>
    <x v="4"/>
  </r>
  <r>
    <s v="EMP-4079"/>
    <s v="Sade Okonkwo"/>
    <x v="6"/>
    <s v="Analyst"/>
    <s v="Female"/>
    <n v="23"/>
    <d v="2019-03-07T00:00:00"/>
    <d v="2020-06-07T00:00:00"/>
    <s v="Terminated"/>
    <n v="1"/>
    <m/>
    <n v="3.2"/>
    <s v="MSc"/>
    <n v="821058.13"/>
    <x v="1"/>
    <n v="1.3"/>
    <x v="0"/>
    <x v="0"/>
    <x v="2"/>
  </r>
  <r>
    <s v="EMP-4080"/>
    <s v="Ngozi Okonkwo"/>
    <x v="5"/>
    <s v="Analyst"/>
    <s v="Female"/>
    <n v="34"/>
    <d v="2020-06-13T00:00:00"/>
    <d v="2023-06-26T00:00:00"/>
    <s v="Terminated"/>
    <n v="1"/>
    <m/>
    <n v="16.399999999999999"/>
    <s v="BSc"/>
    <n v="938504.62"/>
    <x v="1"/>
    <n v="3"/>
    <x v="1"/>
    <x v="0"/>
    <x v="0"/>
  </r>
  <r>
    <s v="EMP-4080"/>
    <s v="Chisom Balogun"/>
    <x v="2"/>
    <s v="Executive"/>
    <s v="Female"/>
    <n v="27"/>
    <d v="2023-12-19T00:00:00"/>
    <m/>
    <s v="Active"/>
    <n v="1"/>
    <m/>
    <n v="1.7"/>
    <s v="BSc"/>
    <n v="264131.53999999998"/>
    <x v="0"/>
    <n v="2.4"/>
    <x v="0"/>
    <x v="2"/>
    <x v="1"/>
  </r>
  <r>
    <s v="EMP-4082"/>
    <s v="Chidi Osei"/>
    <x v="6"/>
    <s v="Coordinator"/>
    <s v="Female"/>
    <n v="50"/>
    <d v="2021-02-01T00:00:00"/>
    <d v="2024-12-14T00:00:00"/>
    <s v="Resigned"/>
    <n v="1"/>
    <m/>
    <n v="2.5"/>
    <s v="OND"/>
    <n v="137072.72"/>
    <x v="1"/>
    <n v="3.9"/>
    <x v="3"/>
    <x v="2"/>
    <x v="3"/>
  </r>
  <r>
    <s v="EMP-4083"/>
    <s v="Remi Suleiman"/>
    <x v="1"/>
    <s v="Coordinator"/>
    <s v="Female"/>
    <n v="56"/>
    <d v="2021-07-21T00:00:00"/>
    <m/>
    <s v="Active"/>
    <n v="4"/>
    <m/>
    <n v="14.8"/>
    <s v="BSc"/>
    <n v="437271.07"/>
    <x v="0"/>
    <n v="4.9000000000000004"/>
    <x v="2"/>
    <x v="1"/>
    <x v="3"/>
  </r>
  <r>
    <s v="EMP-4084"/>
    <s v="Jide Abiodun"/>
    <x v="4"/>
    <s v="Manager"/>
    <s v="Female"/>
    <n v="49"/>
    <d v="2020-06-28T00:00:00"/>
    <m/>
    <s v="Active"/>
    <n v="1"/>
    <m/>
    <n v="7.4"/>
    <s v="HND"/>
    <n v="884231.78"/>
    <x v="0"/>
    <n v="5.9"/>
    <x v="3"/>
    <x v="0"/>
    <x v="0"/>
  </r>
  <r>
    <s v="EMP-4085"/>
    <s v="Chisom Nwosu"/>
    <x v="7"/>
    <s v="Associate"/>
    <s v="Male"/>
    <n v="50"/>
    <d v="2022-06-30T00:00:00"/>
    <m/>
    <s v="Active"/>
    <n v="4"/>
    <m/>
    <n v="11.9"/>
    <s v="PhD"/>
    <n v="945722.23"/>
    <x v="0"/>
    <n v="3.9"/>
    <x v="3"/>
    <x v="0"/>
    <x v="4"/>
  </r>
  <r>
    <s v="EMP-4086"/>
    <s v="Ada Okonkwo"/>
    <x v="3"/>
    <s v="Coordinator"/>
    <s v="Male"/>
    <n v="24"/>
    <d v="2021-11-06T00:00:00"/>
    <m/>
    <s v="Active"/>
    <n v="1"/>
    <m/>
    <n v="0.2"/>
    <s v="BSc"/>
    <n v="1260548.3600000001"/>
    <x v="0"/>
    <n v="4.5999999999999996"/>
    <x v="0"/>
    <x v="3"/>
    <x v="3"/>
  </r>
  <r>
    <s v="EMP-4087"/>
    <s v="Zainab Nwosu"/>
    <x v="7"/>
    <s v="Coordinator"/>
    <s v="Female"/>
    <n v="45"/>
    <d v="2019-12-24T00:00:00"/>
    <d v="2021-02-23T00:00:00"/>
    <s v="Resigned"/>
    <n v="3"/>
    <m/>
    <n v="3.3"/>
    <s v="HND"/>
    <n v="256774.06"/>
    <x v="1"/>
    <n v="1.2"/>
    <x v="3"/>
    <x v="2"/>
    <x v="2"/>
  </r>
  <r>
    <s v="EMP-4088"/>
    <s v="Ada Nwosu"/>
    <x v="5"/>
    <s v="Associate"/>
    <s v="Male"/>
    <n v="30"/>
    <d v="2022-12-30T00:00:00"/>
    <d v="2025-03-14T00:00:00"/>
    <s v="Terminated"/>
    <n v="5"/>
    <m/>
    <n v="12.5"/>
    <s v="OND"/>
    <n v="625290.79"/>
    <x v="1"/>
    <n v="2.2000000000000002"/>
    <x v="1"/>
    <x v="1"/>
    <x v="4"/>
  </r>
  <r>
    <s v="EMP-4089"/>
    <s v="Ngozi Ibrahim"/>
    <x v="4"/>
    <s v="Senior Analyst"/>
    <s v="Male"/>
    <n v="39"/>
    <d v="2021-01-08T00:00:00"/>
    <d v="2025-06-06T00:00:00"/>
    <s v="Terminated"/>
    <n v="2"/>
    <m/>
    <n v="3.4"/>
    <s v="BSc"/>
    <n v="127975.76"/>
    <x v="1"/>
    <n v="4.4000000000000004"/>
    <x v="1"/>
    <x v="2"/>
    <x v="3"/>
  </r>
  <r>
    <s v="EMP-4090"/>
    <s v="Sade Abiodun"/>
    <x v="5"/>
    <s v="Specialist"/>
    <s v="Female"/>
    <n v="27"/>
    <d v="2021-11-28T00:00:00"/>
    <m/>
    <s v="Active"/>
    <n v="0"/>
    <m/>
    <n v="-3.9"/>
    <s v="HND"/>
    <n v="718000"/>
    <x v="0"/>
    <n v="4.5"/>
    <x v="0"/>
    <x v="0"/>
    <x v="3"/>
  </r>
  <r>
    <s v="EMP-4091"/>
    <s v="Chidi Okonkwo"/>
    <x v="7"/>
    <s v="Coordinator"/>
    <s v="Female"/>
    <n v="48"/>
    <d v="2019-04-25T00:00:00"/>
    <m/>
    <s v="Active"/>
    <n v="3"/>
    <m/>
    <n v="2.7"/>
    <s v="MSc"/>
    <n v="1171379.08"/>
    <x v="0"/>
    <n v="7.1"/>
    <x v="3"/>
    <x v="3"/>
    <x v="2"/>
  </r>
  <r>
    <s v="EMP-4092"/>
    <s v="Blessing Osei"/>
    <x v="2"/>
    <s v="Senior Analyst"/>
    <s v="Male"/>
    <n v="48"/>
    <d v="2023-04-17T00:00:00"/>
    <m/>
    <s v="Active"/>
    <n v="3"/>
    <m/>
    <n v="7.7"/>
    <s v="HND"/>
    <n v="335064.96999999997"/>
    <x v="0"/>
    <n v="3.1"/>
    <x v="3"/>
    <x v="1"/>
    <x v="1"/>
  </r>
  <r>
    <s v="EMP-4093"/>
    <s v="Emeka Musa"/>
    <x v="7"/>
    <s v="Coordinator"/>
    <s v="Female"/>
    <n v="38"/>
    <d v="2020-07-27T00:00:00"/>
    <m/>
    <s v="Active"/>
    <n v="2"/>
    <m/>
    <n v="13.4"/>
    <s v="MSc"/>
    <n v="699445.76000000001"/>
    <x v="0"/>
    <n v="5.8"/>
    <x v="1"/>
    <x v="1"/>
    <x v="0"/>
  </r>
  <r>
    <s v="EMP-4094"/>
    <s v="Musa Adeleke"/>
    <x v="7"/>
    <s v="Coordinator"/>
    <s v="Female"/>
    <n v="54"/>
    <d v="2021-08-30T00:00:00"/>
    <m/>
    <s v="Active"/>
    <n v="2"/>
    <m/>
    <n v="6.4"/>
    <s v="HND"/>
    <n v="88861.14"/>
    <x v="0"/>
    <n v="4.7"/>
    <x v="2"/>
    <x v="2"/>
    <x v="3"/>
  </r>
  <r>
    <s v="EMP-4095"/>
    <s v="Nkechi Okonkwo"/>
    <x v="2"/>
    <s v="Specialist"/>
    <s v="Male"/>
    <n v="47"/>
    <d v="2019-05-07T00:00:00"/>
    <m/>
    <s v="Active"/>
    <n v="5"/>
    <m/>
    <n v="3.9"/>
    <s v="BSc"/>
    <n v="614800.73"/>
    <x v="0"/>
    <n v="7.1"/>
    <x v="3"/>
    <x v="1"/>
    <x v="2"/>
  </r>
  <r>
    <s v="EMP-4096"/>
    <s v="Olu Adeyemi"/>
    <x v="5"/>
    <s v="Manager"/>
    <s v="Male"/>
    <n v="48"/>
    <d v="2022-10-14T00:00:00"/>
    <d v="2025-02-07T00:00:00"/>
    <s v="Resigned"/>
    <n v="5"/>
    <m/>
    <n v="3.6"/>
    <s v="HND"/>
    <n v="815266.47"/>
    <x v="1"/>
    <n v="2.2999999999999998"/>
    <x v="3"/>
    <x v="0"/>
    <x v="4"/>
  </r>
  <r>
    <s v="EMP-4097"/>
    <s v="Blessing Suleiman"/>
    <x v="5"/>
    <s v="Senior Analyst"/>
    <s v="Male"/>
    <n v="46"/>
    <d v="2022-06-01T00:00:00"/>
    <m/>
    <s v="Active"/>
    <n v="3"/>
    <m/>
    <n v="13"/>
    <s v="HND"/>
    <n v="1120160.3700000001"/>
    <x v="0"/>
    <n v="4"/>
    <x v="3"/>
    <x v="3"/>
    <x v="4"/>
  </r>
  <r>
    <s v="EMP-4098"/>
    <s v="Blessing Mohammed"/>
    <x v="2"/>
    <s v="Executive"/>
    <s v="Male"/>
    <n v="27"/>
    <d v="2019-08-29T00:00:00"/>
    <d v="2024-03-06T00:00:00"/>
    <s v="Resigned"/>
    <n v="4"/>
    <m/>
    <n v="6.7"/>
    <s v="OND"/>
    <n v="715390.14"/>
    <x v="1"/>
    <n v="4.5"/>
    <x v="0"/>
    <x v="0"/>
    <x v="2"/>
  </r>
  <r>
    <s v="EMP-4099"/>
    <s v="Musa Adeleke"/>
    <x v="4"/>
    <s v="Manager"/>
    <s v="Male"/>
    <n v="38"/>
    <d v="2021-01-02T00:00:00"/>
    <m/>
    <s v="Active"/>
    <n v="4"/>
    <m/>
    <n v="1"/>
    <s v="BSc"/>
    <n v="1324827.71"/>
    <x v="0"/>
    <n v="5.4"/>
    <x v="1"/>
    <x v="3"/>
    <x v="3"/>
  </r>
  <r>
    <s v="EMP-4100"/>
    <s v="Tayo Nwosu"/>
    <x v="5"/>
    <s v="Associate"/>
    <s v="Male"/>
    <n v="41"/>
    <d v="2020-09-12T00:00:00"/>
    <m/>
    <s v="Active"/>
    <n v="4"/>
    <m/>
    <n v="4.5999999999999996"/>
    <s v="BSc"/>
    <n v="313147.27"/>
    <x v="0"/>
    <n v="5.7"/>
    <x v="3"/>
    <x v="1"/>
    <x v="0"/>
  </r>
  <r>
    <s v="EMP-4101"/>
    <s v="Olu Adeleke"/>
    <x v="2"/>
    <s v="Manager"/>
    <s v="Male"/>
    <n v="34"/>
    <d v="2019-03-11T00:00:00"/>
    <m/>
    <s v="Active"/>
    <n v="4"/>
    <m/>
    <n v="18.899999999999999"/>
    <s v="HND"/>
    <n v="1478109.88"/>
    <x v="0"/>
    <n v="7.2"/>
    <x v="1"/>
    <x v="3"/>
    <x v="2"/>
  </r>
  <r>
    <s v="EMP-4102"/>
    <s v="Chisom Mohammed"/>
    <x v="2"/>
    <s v="Executive"/>
    <s v="Female"/>
    <n v="30"/>
    <d v="2022-11-07T00:00:00"/>
    <m/>
    <s v="Active"/>
    <n v="3"/>
    <m/>
    <n v="0.6"/>
    <s v="MSc"/>
    <n v="658865.21"/>
    <x v="0"/>
    <n v="3.6"/>
    <x v="1"/>
    <x v="1"/>
    <x v="4"/>
  </r>
  <r>
    <s v="EMP-4103"/>
    <s v="Nkechi Abiodun"/>
    <x v="1"/>
    <s v="Associate"/>
    <s v="Female"/>
    <n v="32"/>
    <d v="2021-11-19T00:00:00"/>
    <m/>
    <s v="Active"/>
    <n v="5"/>
    <m/>
    <n v="3.4"/>
    <s v="HND"/>
    <n v="1141429.95"/>
    <x v="0"/>
    <n v="4.5"/>
    <x v="1"/>
    <x v="3"/>
    <x v="3"/>
  </r>
  <r>
    <s v="EMP-4104"/>
    <s v="Halima Fashola"/>
    <x v="5"/>
    <s v="Specialist"/>
    <s v="Female"/>
    <n v="43"/>
    <d v="2020-08-30T00:00:00"/>
    <m/>
    <s v="Active"/>
    <n v="5"/>
    <m/>
    <n v="7.8"/>
    <s v="BSc"/>
    <n v="1384406.56"/>
    <x v="0"/>
    <n v="5.7"/>
    <x v="3"/>
    <x v="3"/>
    <x v="0"/>
  </r>
  <r>
    <s v="EMP-4105"/>
    <s v="Ada Okafor"/>
    <x v="5"/>
    <s v="Manager"/>
    <s v="Female"/>
    <n v="42"/>
    <d v="2023-08-06T00:00:00"/>
    <m/>
    <s v="Active"/>
    <n v="3"/>
    <m/>
    <n v="19.5"/>
    <s v="HND"/>
    <n v="718000"/>
    <x v="0"/>
    <n v="2.8"/>
    <x v="3"/>
    <x v="0"/>
    <x v="1"/>
  </r>
  <r>
    <s v="EMP-4106"/>
    <s v="Halima Okonkwo"/>
    <x v="7"/>
    <s v="Analyst"/>
    <s v="Male"/>
    <n v="57"/>
    <d v="2021-11-20T00:00:00"/>
    <m/>
    <s v="Active"/>
    <n v="3"/>
    <m/>
    <n v="12.5"/>
    <s v="BSc"/>
    <n v="1102343.92"/>
    <x v="0"/>
    <n v="4.5"/>
    <x v="2"/>
    <x v="3"/>
    <x v="3"/>
  </r>
  <r>
    <s v="EMP-4107"/>
    <s v="Olu Ibrahim"/>
    <x v="6"/>
    <s v="Manager"/>
    <s v="Female"/>
    <n v="24"/>
    <d v="2019-07-21T00:00:00"/>
    <d v="2024-03-03T00:00:00"/>
    <s v="Terminated"/>
    <n v="1"/>
    <m/>
    <n v="17.100000000000001"/>
    <s v="MSc"/>
    <n v="102458.35"/>
    <x v="1"/>
    <n v="4.5999999999999996"/>
    <x v="0"/>
    <x v="2"/>
    <x v="2"/>
  </r>
  <r>
    <s v="EMP-4108"/>
    <s v="Tobi Adeleke"/>
    <x v="5"/>
    <s v="Associate"/>
    <s v="Male"/>
    <n v="49"/>
    <d v="2019-07-24T00:00:00"/>
    <m/>
    <s v="Active"/>
    <n v="0"/>
    <m/>
    <n v="18.899999999999999"/>
    <s v="MSc"/>
    <n v="669019.16"/>
    <x v="0"/>
    <n v="6.8"/>
    <x v="3"/>
    <x v="1"/>
    <x v="2"/>
  </r>
  <r>
    <s v="EMP-4109"/>
    <s v="Chidi Ibrahim"/>
    <x v="6"/>
    <s v="Analyst"/>
    <s v="Female"/>
    <n v="44"/>
    <d v="2019-10-28T00:00:00"/>
    <m/>
    <s v="Active"/>
    <n v="1"/>
    <m/>
    <n v="13.5"/>
    <s v="BSc"/>
    <n v="683380.83"/>
    <x v="0"/>
    <n v="6.6"/>
    <x v="3"/>
    <x v="1"/>
    <x v="2"/>
  </r>
  <r>
    <s v="EMP-4110"/>
    <s v="Tayo Eze"/>
    <x v="5"/>
    <s v="Manager"/>
    <s v="Female"/>
    <n v="41"/>
    <d v="2020-03-04T00:00:00"/>
    <m/>
    <s v="Active"/>
    <n v="1"/>
    <m/>
    <n v="10.7"/>
    <s v="HND"/>
    <n v="511219.06"/>
    <x v="0"/>
    <n v="6.2"/>
    <x v="3"/>
    <x v="1"/>
    <x v="0"/>
  </r>
  <r>
    <s v="EMP-4111"/>
    <s v="Chisom Okonkwo"/>
    <x v="1"/>
    <s v="Specialist"/>
    <s v="Female"/>
    <n v="39"/>
    <d v="2022-12-15T00:00:00"/>
    <m/>
    <s v="Active"/>
    <n v="2"/>
    <m/>
    <n v="12.9"/>
    <s v="OND"/>
    <n v="180455.22"/>
    <x v="0"/>
    <n v="3.4"/>
    <x v="1"/>
    <x v="2"/>
    <x v="4"/>
  </r>
  <r>
    <s v="EMP-4112"/>
    <s v="Seun Mohammed"/>
    <x v="4"/>
    <s v="Coordinator"/>
    <s v="Female"/>
    <n v="47"/>
    <d v="2022-01-23T00:00:00"/>
    <d v="2025-03-29T00:00:00"/>
    <s v="Resigned"/>
    <n v="2"/>
    <m/>
    <n v="12.4"/>
    <s v="HND"/>
    <n v="508722.54"/>
    <x v="1"/>
    <n v="3.2"/>
    <x v="3"/>
    <x v="1"/>
    <x v="4"/>
  </r>
  <r>
    <s v="EMP-4113"/>
    <s v="Sade Adeyemi"/>
    <x v="3"/>
    <s v="Manager"/>
    <s v="Male"/>
    <n v="53"/>
    <d v="2021-07-06T00:00:00"/>
    <m/>
    <s v="Active"/>
    <n v="2"/>
    <m/>
    <n v="0.7"/>
    <s v="MSc"/>
    <n v="748518.89"/>
    <x v="0"/>
    <n v="4.9000000000000004"/>
    <x v="2"/>
    <x v="0"/>
    <x v="3"/>
  </r>
  <r>
    <s v="EMP-4114"/>
    <s v="Amaka Suleiman"/>
    <x v="7"/>
    <s v="Specialist"/>
    <s v="Female"/>
    <n v="35"/>
    <d v="2020-04-03T00:00:00"/>
    <d v="2023-02-15T00:00:00"/>
    <s v="Resigned"/>
    <n v="3"/>
    <m/>
    <n v="4.5999999999999996"/>
    <s v="MSc"/>
    <n v="147643.21"/>
    <x v="1"/>
    <n v="2.9"/>
    <x v="1"/>
    <x v="2"/>
    <x v="0"/>
  </r>
  <r>
    <s v="EMP-4115"/>
    <s v="Jide Balogun"/>
    <x v="0"/>
    <s v="Executive"/>
    <s v="Male"/>
    <n v="22"/>
    <d v="2021-02-18T00:00:00"/>
    <m/>
    <s v="Active"/>
    <n v="3"/>
    <m/>
    <n v="13.9"/>
    <s v="BSc"/>
    <n v="1089464.78"/>
    <x v="0"/>
    <n v="5.3"/>
    <x v="0"/>
    <x v="3"/>
    <x v="3"/>
  </r>
  <r>
    <s v="EMP-4116"/>
    <s v="Tayo Fashola"/>
    <x v="0"/>
    <s v="Analyst"/>
    <s v="Male"/>
    <n v="37"/>
    <d v="2021-12-18T00:00:00"/>
    <d v="2025-11-19T00:00:00"/>
    <s v="Resigned"/>
    <n v="3"/>
    <m/>
    <n v="2.9"/>
    <s v="OND"/>
    <n v="305797.42"/>
    <x v="1"/>
    <n v="3.9"/>
    <x v="1"/>
    <x v="1"/>
    <x v="3"/>
  </r>
  <r>
    <s v="EMP-4117"/>
    <s v="Zainab Eze"/>
    <x v="1"/>
    <s v="Analyst"/>
    <s v="Female"/>
    <n v="40"/>
    <d v="2023-12-23T00:00:00"/>
    <d v="2028-10-19T00:00:00"/>
    <s v="Terminated"/>
    <n v="2"/>
    <m/>
    <n v="7.1"/>
    <s v="BSc"/>
    <n v="971437.13"/>
    <x v="1"/>
    <n v="4.8"/>
    <x v="1"/>
    <x v="0"/>
    <x v="1"/>
  </r>
  <r>
    <s v="EMP-4118"/>
    <s v="Tobi Adeleke"/>
    <x v="4"/>
    <s v="Coordinator"/>
    <s v="Female"/>
    <n v="44"/>
    <d v="2019-12-04T00:00:00"/>
    <d v="2023-04-17T00:00:00"/>
    <s v="Terminated"/>
    <n v="1"/>
    <m/>
    <n v="0.3"/>
    <s v="MSc"/>
    <n v="450594.2"/>
    <x v="1"/>
    <n v="3.4"/>
    <x v="3"/>
    <x v="1"/>
    <x v="2"/>
  </r>
  <r>
    <s v="EMP-4119"/>
    <s v="Tobi Ibrahim"/>
    <x v="0"/>
    <s v="Director"/>
    <s v="Male"/>
    <n v="50"/>
    <d v="2023-11-08T00:00:00"/>
    <m/>
    <s v="Active"/>
    <n v="4"/>
    <m/>
    <n v="3.2"/>
    <s v="HND"/>
    <n v="1147909.82"/>
    <x v="0"/>
    <n v="2.6"/>
    <x v="3"/>
    <x v="3"/>
    <x v="1"/>
  </r>
  <r>
    <s v="EMP-4120"/>
    <s v="Blessing Garba"/>
    <x v="6"/>
    <s v="Specialist"/>
    <s v="Female"/>
    <n v="30"/>
    <d v="2019-09-07T00:00:00"/>
    <m/>
    <s v="Active"/>
    <n v="5"/>
    <m/>
    <n v="-3.4"/>
    <s v="OND"/>
    <n v="718000"/>
    <x v="0"/>
    <n v="6.7"/>
    <x v="1"/>
    <x v="0"/>
    <x v="2"/>
  </r>
  <r>
    <s v="EMP-4121"/>
    <s v="Tayo Musa"/>
    <x v="1"/>
    <s v="Associate"/>
    <s v="Female"/>
    <n v="56"/>
    <d v="2023-07-07T00:00:00"/>
    <d v="2026-08-19T00:00:00"/>
    <s v="Resigned"/>
    <n v="4"/>
    <m/>
    <n v="8.4"/>
    <s v="PhD"/>
    <n v="500050.03"/>
    <x v="1"/>
    <n v="3.1"/>
    <x v="2"/>
    <x v="1"/>
    <x v="1"/>
  </r>
  <r>
    <s v="EMP-4122"/>
    <s v="Ngozi Balogun"/>
    <x v="6"/>
    <s v="Associate"/>
    <s v="Male"/>
    <n v="35"/>
    <d v="2023-07-12T00:00:00"/>
    <m/>
    <s v="Active"/>
    <n v="3"/>
    <m/>
    <n v="4.4000000000000004"/>
    <s v="MSc"/>
    <n v="849670.85"/>
    <x v="0"/>
    <n v="2.9"/>
    <x v="1"/>
    <x v="0"/>
    <x v="1"/>
  </r>
  <r>
    <s v="EMP-4123"/>
    <s v="Amaka Garba"/>
    <x v="0"/>
    <s v="Executive"/>
    <s v="Female"/>
    <n v="22"/>
    <d v="2020-02-28T00:00:00"/>
    <m/>
    <s v="Active"/>
    <n v="5"/>
    <m/>
    <n v="19.5"/>
    <s v="BSc"/>
    <n v="576152.94999999995"/>
    <x v="0"/>
    <n v="6.2"/>
    <x v="0"/>
    <x v="1"/>
    <x v="0"/>
  </r>
  <r>
    <s v="EMP-4124"/>
    <s v="Nkechi Mohammed"/>
    <x v="5"/>
    <s v="Coordinator"/>
    <s v="Male"/>
    <n v="51"/>
    <d v="2021-01-12T00:00:00"/>
    <m/>
    <s v="Active"/>
    <n v="4"/>
    <m/>
    <n v="4.5"/>
    <s v="BSc"/>
    <n v="623926.34"/>
    <x v="0"/>
    <n v="5.4"/>
    <x v="2"/>
    <x v="1"/>
    <x v="3"/>
  </r>
  <r>
    <s v="EMP-4125"/>
    <s v="Amaka Abiodun"/>
    <x v="5"/>
    <s v="Executive"/>
    <s v="Male"/>
    <n v="27"/>
    <d v="2022-01-19T00:00:00"/>
    <d v="2025-08-17T00:00:00"/>
    <s v="Resigned"/>
    <n v="4"/>
    <m/>
    <n v="12.6"/>
    <s v="OND"/>
    <n v="112541.25"/>
    <x v="1"/>
    <n v="3.6"/>
    <x v="0"/>
    <x v="2"/>
    <x v="4"/>
  </r>
  <r>
    <s v="EMP-4126"/>
    <s v="Jide Abiodun"/>
    <x v="0"/>
    <s v="Coordinator"/>
    <s v="Male"/>
    <n v="39"/>
    <d v="2021-08-16T00:00:00"/>
    <m/>
    <s v="Active"/>
    <n v="0"/>
    <m/>
    <n v="14.7"/>
    <s v="MSc"/>
    <n v="1068878.45"/>
    <x v="0"/>
    <n v="4.8"/>
    <x v="1"/>
    <x v="3"/>
    <x v="3"/>
  </r>
  <r>
    <s v="EMP-4127"/>
    <s v="Ada Danjuma"/>
    <x v="7"/>
    <s v="Executive"/>
    <s v="Female"/>
    <n v="40"/>
    <d v="2022-02-15T00:00:00"/>
    <m/>
    <s v="Active"/>
    <n v="1"/>
    <m/>
    <n v="16.5"/>
    <s v="HND"/>
    <n v="138981.25"/>
    <x v="0"/>
    <n v="4.3"/>
    <x v="1"/>
    <x v="2"/>
    <x v="4"/>
  </r>
  <r>
    <s v="EMP-4128"/>
    <s v="Emeka Nwosu"/>
    <x v="4"/>
    <s v="Specialist"/>
    <s v="Male"/>
    <n v="37"/>
    <d v="2023-04-21T00:00:00"/>
    <d v="2024-09-17T00:00:00"/>
    <s v="Terminated"/>
    <n v="2"/>
    <m/>
    <n v="18.5"/>
    <s v="HND"/>
    <n v="1063692.72"/>
    <x v="1"/>
    <n v="1.4"/>
    <x v="1"/>
    <x v="3"/>
    <x v="1"/>
  </r>
  <r>
    <s v="EMP-4129"/>
    <s v="Seun Ibrahim"/>
    <x v="4"/>
    <s v="Senior Analyst"/>
    <s v="Male"/>
    <n v="51"/>
    <d v="2021-03-24T00:00:00"/>
    <m/>
    <s v="Active"/>
    <n v="1"/>
    <m/>
    <n v="13.7"/>
    <s v="BSc"/>
    <n v="323872.17"/>
    <x v="0"/>
    <n v="5.2"/>
    <x v="2"/>
    <x v="1"/>
    <x v="3"/>
  </r>
  <r>
    <s v="EMP-4130"/>
    <s v="Olu Ibrahim"/>
    <x v="6"/>
    <s v="Director"/>
    <s v="Female"/>
    <n v="58"/>
    <d v="2023-11-04T00:00:00"/>
    <m/>
    <s v="Active"/>
    <n v="1"/>
    <m/>
    <n v="0"/>
    <s v="HND"/>
    <n v="974430.24"/>
    <x v="0"/>
    <n v="2.6"/>
    <x v="2"/>
    <x v="0"/>
    <x v="1"/>
  </r>
  <r>
    <s v="EMP-4131"/>
    <s v="Emeka Danjuma"/>
    <x v="3"/>
    <s v="Associate"/>
    <s v="Male"/>
    <n v="48"/>
    <d v="2020-09-23T00:00:00"/>
    <d v="2023-01-08T00:00:00"/>
    <s v="Terminated"/>
    <n v="2"/>
    <m/>
    <n v="18.3"/>
    <s v="BSc"/>
    <n v="993283.69"/>
    <x v="1"/>
    <n v="2.2999999999999998"/>
    <x v="3"/>
    <x v="0"/>
    <x v="0"/>
  </r>
  <r>
    <s v="EMP-4132"/>
    <s v="Ngozi Suleiman"/>
    <x v="2"/>
    <s v="Specialist"/>
    <s v="Female"/>
    <n v="39"/>
    <d v="2020-02-04T00:00:00"/>
    <m/>
    <s v="Active"/>
    <n v="5"/>
    <m/>
    <n v="11.1"/>
    <s v="HND"/>
    <n v="1241221.9099999999"/>
    <x v="0"/>
    <n v="6.3"/>
    <x v="1"/>
    <x v="3"/>
    <x v="0"/>
  </r>
  <r>
    <s v="EMP-4133"/>
    <s v="Jide Ibrahim"/>
    <x v="6"/>
    <s v="Senior Analyst"/>
    <s v="Female"/>
    <n v="57"/>
    <d v="2023-09-27T00:00:00"/>
    <m/>
    <s v="Active"/>
    <n v="1"/>
    <m/>
    <n v="16.899999999999999"/>
    <s v="PhD"/>
    <n v="1097873.9099999999"/>
    <x v="0"/>
    <n v="2.7"/>
    <x v="2"/>
    <x v="3"/>
    <x v="1"/>
  </r>
  <r>
    <s v="EMP-4134"/>
    <s v="Femi Balogun"/>
    <x v="7"/>
    <s v="Manager"/>
    <s v="Female"/>
    <n v="54"/>
    <d v="2023-09-24T00:00:00"/>
    <m/>
    <s v="Active"/>
    <n v="1"/>
    <m/>
    <n v="7.1"/>
    <s v="HND"/>
    <n v="1362441.15"/>
    <x v="0"/>
    <n v="2.7"/>
    <x v="2"/>
    <x v="3"/>
    <x v="1"/>
  </r>
  <r>
    <s v="EMP-4135"/>
    <s v="Blessing Musa"/>
    <x v="3"/>
    <s v="Director"/>
    <s v="Female"/>
    <n v="40"/>
    <d v="2020-06-23T00:00:00"/>
    <m/>
    <s v="Active"/>
    <n v="2"/>
    <m/>
    <n v="16"/>
    <s v="MSc"/>
    <n v="718000"/>
    <x v="0"/>
    <n v="5.9"/>
    <x v="1"/>
    <x v="0"/>
    <x v="0"/>
  </r>
  <r>
    <s v="EMP-4136"/>
    <s v="Jide Suleiman"/>
    <x v="3"/>
    <s v="Specialist"/>
    <s v="Male"/>
    <n v="24"/>
    <d v="2021-02-12T00:00:00"/>
    <d v="2024-01-16T00:00:00"/>
    <s v="Terminated"/>
    <n v="5"/>
    <m/>
    <n v="9.1999999999999993"/>
    <s v="MSc"/>
    <n v="1485590.34"/>
    <x v="1"/>
    <n v="2.9"/>
    <x v="0"/>
    <x v="3"/>
    <x v="3"/>
  </r>
  <r>
    <s v="EMP-4137"/>
    <s v="Zainab Garba"/>
    <x v="5"/>
    <s v="Senior Analyst"/>
    <s v="Female"/>
    <n v="57"/>
    <d v="2023-06-19T00:00:00"/>
    <d v="2027-02-05T00:00:00"/>
    <s v="Terminated"/>
    <n v="2"/>
    <m/>
    <n v="0.5"/>
    <s v="PhD"/>
    <n v="504353.71"/>
    <x v="1"/>
    <n v="3.6"/>
    <x v="2"/>
    <x v="1"/>
    <x v="1"/>
  </r>
  <r>
    <s v="EMP-4138"/>
    <s v="Tobi Eze"/>
    <x v="3"/>
    <s v="Analyst"/>
    <s v="Male"/>
    <n v="49"/>
    <d v="2019-01-17T00:00:00"/>
    <m/>
    <s v="Active"/>
    <n v="5"/>
    <m/>
    <n v="13.5"/>
    <s v="BSc"/>
    <n v="1452983.94"/>
    <x v="0"/>
    <n v="7.4"/>
    <x v="3"/>
    <x v="3"/>
    <x v="2"/>
  </r>
  <r>
    <s v="EMP-4139"/>
    <s v="Nkechi Nwosu"/>
    <x v="2"/>
    <s v="Senior Analyst"/>
    <s v="Male"/>
    <n v="33"/>
    <d v="2022-11-26T00:00:00"/>
    <m/>
    <s v="Active"/>
    <n v="1"/>
    <m/>
    <n v="12.1"/>
    <s v="OND"/>
    <n v="123522.03"/>
    <x v="0"/>
    <n v="3.5"/>
    <x v="1"/>
    <x v="2"/>
    <x v="4"/>
  </r>
  <r>
    <s v="EMP-4140"/>
    <s v="Chidi Musa"/>
    <x v="5"/>
    <s v="Director"/>
    <s v="Male"/>
    <n v="39"/>
    <d v="2022-06-14T00:00:00"/>
    <m/>
    <s v="Active"/>
    <n v="1"/>
    <m/>
    <n v="10.199999999999999"/>
    <s v="HND"/>
    <n v="423911.69"/>
    <x v="0"/>
    <n v="4"/>
    <x v="1"/>
    <x v="1"/>
    <x v="4"/>
  </r>
  <r>
    <s v="EMP-4141"/>
    <s v="Ada Garba"/>
    <x v="5"/>
    <s v="Specialist"/>
    <s v="Male"/>
    <n v="53"/>
    <d v="2022-08-11T00:00:00"/>
    <m/>
    <s v="Active"/>
    <n v="1"/>
    <m/>
    <n v="2.2000000000000002"/>
    <s v="HND"/>
    <n v="781828.26"/>
    <x v="0"/>
    <n v="3.8"/>
    <x v="2"/>
    <x v="0"/>
    <x v="4"/>
  </r>
  <r>
    <s v="EMP-4142"/>
    <s v="Sade Suleiman"/>
    <x v="7"/>
    <s v="Associate"/>
    <s v="Female"/>
    <n v="24"/>
    <d v="2023-07-18T00:00:00"/>
    <d v="2025-11-18T00:00:00"/>
    <s v="Terminated"/>
    <n v="4"/>
    <m/>
    <n v="14.9"/>
    <s v="PhD"/>
    <n v="1123529.24"/>
    <x v="1"/>
    <n v="2.2999999999999998"/>
    <x v="0"/>
    <x v="3"/>
    <x v="1"/>
  </r>
  <r>
    <s v="EMP-4143"/>
    <s v="Seun Balogun"/>
    <x v="7"/>
    <s v="Executive"/>
    <s v="Male"/>
    <n v="35"/>
    <d v="2019-10-22T00:00:00"/>
    <d v="2020-07-13T00:00:00"/>
    <s v="Terminated"/>
    <n v="4"/>
    <m/>
    <n v="14.5"/>
    <s v="MSc"/>
    <n v="450648.41"/>
    <x v="1"/>
    <n v="0.7"/>
    <x v="1"/>
    <x v="1"/>
    <x v="2"/>
  </r>
  <r>
    <s v="EMP-4144"/>
    <s v="Seun Mohammed"/>
    <x v="4"/>
    <s v="Senior Analyst"/>
    <s v="Female"/>
    <n v="45"/>
    <d v="2021-09-09T00:00:00"/>
    <m/>
    <s v="Active"/>
    <n v="0"/>
    <m/>
    <n v="0.6"/>
    <s v="HND"/>
    <n v="928573.89"/>
    <x v="0"/>
    <n v="4.7"/>
    <x v="3"/>
    <x v="0"/>
    <x v="3"/>
  </r>
  <r>
    <s v="EMP-4145"/>
    <s v="Chidi Adeyemi"/>
    <x v="2"/>
    <s v="Director"/>
    <s v="Male"/>
    <n v="52"/>
    <d v="2021-06-07T00:00:00"/>
    <m/>
    <s v="Active"/>
    <n v="3"/>
    <m/>
    <n v="14.3"/>
    <s v="PhD"/>
    <n v="1216804.48"/>
    <x v="0"/>
    <n v="5"/>
    <x v="2"/>
    <x v="3"/>
    <x v="3"/>
  </r>
  <r>
    <s v="EMP-4146"/>
    <s v="Yusuf Eze"/>
    <x v="2"/>
    <s v="Coordinator"/>
    <s v="Female"/>
    <n v="55"/>
    <d v="2022-05-26T00:00:00"/>
    <d v="2026-09-15T00:00:00"/>
    <s v="Resigned"/>
    <n v="5"/>
    <m/>
    <n v="6.9"/>
    <s v="OND"/>
    <n v="640154.14"/>
    <x v="1"/>
    <n v="4.3"/>
    <x v="2"/>
    <x v="1"/>
    <x v="4"/>
  </r>
  <r>
    <s v="EMP-4147"/>
    <s v="Tayo Fashola"/>
    <x v="5"/>
    <s v="Director"/>
    <s v="Male"/>
    <n v="45"/>
    <d v="2019-12-31T00:00:00"/>
    <d v="2024-10-21T00:00:00"/>
    <s v="Resigned"/>
    <n v="4"/>
    <m/>
    <n v="11.2"/>
    <s v="HND"/>
    <n v="654773.93999999994"/>
    <x v="1"/>
    <n v="4.8"/>
    <x v="3"/>
    <x v="1"/>
    <x v="2"/>
  </r>
  <r>
    <s v="EMP-4148"/>
    <s v="Ada Balogun"/>
    <x v="6"/>
    <s v="Director"/>
    <s v="Female"/>
    <n v="31"/>
    <d v="2019-06-01T00:00:00"/>
    <d v="2023-05-08T00:00:00"/>
    <s v="Resigned"/>
    <n v="2"/>
    <m/>
    <n v="14.9"/>
    <s v="PhD"/>
    <n v="1059781.6200000001"/>
    <x v="1"/>
    <n v="3.9"/>
    <x v="1"/>
    <x v="3"/>
    <x v="2"/>
  </r>
  <r>
    <s v="EMP-4149"/>
    <s v="Yusuf Okonkwo"/>
    <x v="0"/>
    <s v="Senior Analyst"/>
    <s v="Male"/>
    <n v="36"/>
    <d v="2021-05-28T00:00:00"/>
    <d v="2022-07-06T00:00:00"/>
    <s v="Resigned"/>
    <n v="5"/>
    <m/>
    <n v="12.2"/>
    <s v="HND"/>
    <n v="1127809.1200000001"/>
    <x v="1"/>
    <n v="1.1000000000000001"/>
    <x v="1"/>
    <x v="3"/>
    <x v="3"/>
  </r>
  <r>
    <s v="EMP-4150"/>
    <s v="Remi Fashola"/>
    <x v="4"/>
    <s v="Senior Analyst"/>
    <s v="Male"/>
    <n v="24"/>
    <d v="2019-12-21T00:00:00"/>
    <d v="2022-04-14T00:00:00"/>
    <s v="Terminated"/>
    <n v="4"/>
    <m/>
    <n v="-2.2000000000000002"/>
    <s v="PhD"/>
    <n v="718000"/>
    <x v="1"/>
    <n v="2.2999999999999998"/>
    <x v="0"/>
    <x v="0"/>
    <x v="2"/>
  </r>
  <r>
    <s v="EMP-4151"/>
    <s v="Emeka Adeleke"/>
    <x v="3"/>
    <s v="Specialist"/>
    <s v="Male"/>
    <n v="23"/>
    <d v="2022-06-18T00:00:00"/>
    <m/>
    <s v="Active"/>
    <n v="4"/>
    <m/>
    <n v="10.7"/>
    <s v="OND"/>
    <n v="371289.33"/>
    <x v="0"/>
    <n v="3.9"/>
    <x v="0"/>
    <x v="1"/>
    <x v="4"/>
  </r>
  <r>
    <s v="EMP-4152"/>
    <s v="Seun Okafor"/>
    <x v="6"/>
    <s v="Coordinator"/>
    <s v="Male"/>
    <n v="41"/>
    <d v="2019-07-15T00:00:00"/>
    <m/>
    <s v="Active"/>
    <n v="1"/>
    <m/>
    <n v="5.8"/>
    <s v="OND"/>
    <n v="189171.13"/>
    <x v="0"/>
    <n v="6.9"/>
    <x v="3"/>
    <x v="2"/>
    <x v="2"/>
  </r>
  <r>
    <s v="EMP-4153"/>
    <s v="Zainab Danjuma"/>
    <x v="2"/>
    <s v="Coordinator"/>
    <s v="Female"/>
    <n v="58"/>
    <d v="2021-08-12T00:00:00"/>
    <m/>
    <s v="Active"/>
    <n v="1"/>
    <m/>
    <n v="10.6"/>
    <s v="BSc"/>
    <n v="1312384.42"/>
    <x v="0"/>
    <n v="4.8"/>
    <x v="2"/>
    <x v="3"/>
    <x v="3"/>
  </r>
  <r>
    <s v="EMP-4154"/>
    <s v="Halima Okonkwo"/>
    <x v="5"/>
    <s v="Coordinator"/>
    <s v="Female"/>
    <n v="25"/>
    <d v="2023-02-05T00:00:00"/>
    <d v="2027-02-07T00:00:00"/>
    <s v="Terminated"/>
    <n v="1"/>
    <m/>
    <n v="13.2"/>
    <s v="OND"/>
    <n v="973406.86"/>
    <x v="1"/>
    <n v="4"/>
    <x v="0"/>
    <x v="0"/>
    <x v="1"/>
  </r>
  <r>
    <s v="EMP-4155"/>
    <s v="Jide Eze"/>
    <x v="4"/>
    <s v="Specialist"/>
    <s v="Female"/>
    <n v="57"/>
    <d v="2019-08-29T00:00:00"/>
    <m/>
    <s v="Active"/>
    <n v="1"/>
    <m/>
    <n v="3.6"/>
    <s v="OND"/>
    <n v="713875.06"/>
    <x v="0"/>
    <n v="6.7"/>
    <x v="2"/>
    <x v="0"/>
    <x v="2"/>
  </r>
  <r>
    <s v="EMP-4156"/>
    <s v="Blessing Osei"/>
    <x v="4"/>
    <s v="Analyst"/>
    <s v="Male"/>
    <n v="43"/>
    <d v="2019-01-16T00:00:00"/>
    <d v="2019-09-02T00:00:00"/>
    <s v="Terminated"/>
    <n v="5"/>
    <m/>
    <n v="4.7"/>
    <s v="MSc"/>
    <n v="982073.85"/>
    <x v="1"/>
    <n v="0.6"/>
    <x v="3"/>
    <x v="0"/>
    <x v="2"/>
  </r>
  <r>
    <s v="EMP-4157"/>
    <s v="Chidi Okonkwo"/>
    <x v="1"/>
    <s v="Specialist"/>
    <s v="Female"/>
    <n v="33"/>
    <d v="2023-02-07T00:00:00"/>
    <d v="2025-09-29T00:00:00"/>
    <s v="Terminated"/>
    <n v="1"/>
    <m/>
    <n v="12.7"/>
    <s v="PhD"/>
    <n v="1078016.46"/>
    <x v="1"/>
    <n v="2.6"/>
    <x v="1"/>
    <x v="3"/>
    <x v="1"/>
  </r>
  <r>
    <s v="EMP-4158"/>
    <s v="Olu Danjuma"/>
    <x v="6"/>
    <s v="Manager"/>
    <s v="Female"/>
    <n v="55"/>
    <d v="2019-11-05T00:00:00"/>
    <d v="2020-12-04T00:00:00"/>
    <s v="Resigned"/>
    <n v="2"/>
    <m/>
    <n v="4.8"/>
    <s v="PhD"/>
    <n v="258984.62"/>
    <x v="1"/>
    <n v="1.1000000000000001"/>
    <x v="2"/>
    <x v="2"/>
    <x v="2"/>
  </r>
  <r>
    <s v="EMP-4159"/>
    <s v="Seun Garba"/>
    <x v="6"/>
    <s v="Executive"/>
    <s v="Female"/>
    <n v="40"/>
    <d v="2019-03-12T00:00:00"/>
    <m/>
    <s v="Active"/>
    <n v="3"/>
    <m/>
    <n v="13.7"/>
    <s v="MSc"/>
    <n v="396220.18"/>
    <x v="0"/>
    <n v="7.2"/>
    <x v="1"/>
    <x v="1"/>
    <x v="2"/>
  </r>
  <r>
    <s v="EMP-4160"/>
    <s v="Yusuf Eze"/>
    <x v="4"/>
    <s v="Manager"/>
    <s v="Female"/>
    <n v="42"/>
    <d v="2021-10-26T00:00:00"/>
    <m/>
    <s v="Active"/>
    <n v="1"/>
    <m/>
    <n v="9.1"/>
    <s v="MSc"/>
    <n v="582581.05000000005"/>
    <x v="0"/>
    <n v="4.5999999999999996"/>
    <x v="3"/>
    <x v="1"/>
    <x v="3"/>
  </r>
  <r>
    <s v="EMP-4161"/>
    <s v="Jide Balogun"/>
    <x v="3"/>
    <s v="Senior Analyst"/>
    <s v="Male"/>
    <n v="45"/>
    <d v="2022-12-29T00:00:00"/>
    <d v="2026-10-05T00:00:00"/>
    <s v="Resigned"/>
    <n v="4"/>
    <m/>
    <n v="18.399999999999999"/>
    <s v="BSc"/>
    <n v="1466425.4"/>
    <x v="1"/>
    <n v="3.8"/>
    <x v="3"/>
    <x v="3"/>
    <x v="4"/>
  </r>
  <r>
    <s v="EMP-4162"/>
    <s v="Sade Adeleke"/>
    <x v="6"/>
    <s v="Senior Analyst"/>
    <s v="Male"/>
    <n v="55"/>
    <d v="2022-05-16T00:00:00"/>
    <d v="2027-03-20T00:00:00"/>
    <s v="Terminated"/>
    <n v="10"/>
    <m/>
    <n v="0.2"/>
    <s v="HND"/>
    <n v="1486684.54"/>
    <x v="1"/>
    <n v="4.8"/>
    <x v="2"/>
    <x v="3"/>
    <x v="4"/>
  </r>
  <r>
    <s v="EMP-4163"/>
    <s v="Chisom Adeyemi"/>
    <x v="3"/>
    <s v="Director"/>
    <s v="Female"/>
    <n v="24"/>
    <d v="2021-09-15T00:00:00"/>
    <d v="2025-05-08T00:00:00"/>
    <s v="Terminated"/>
    <n v="2"/>
    <m/>
    <n v="7.9"/>
    <s v="BSc"/>
    <n v="273368.23"/>
    <x v="1"/>
    <n v="3.6"/>
    <x v="0"/>
    <x v="2"/>
    <x v="3"/>
  </r>
  <r>
    <s v="EMP-4164"/>
    <s v="Olu Adeleke"/>
    <x v="0"/>
    <s v="Executive"/>
    <s v="Female"/>
    <n v="42"/>
    <d v="2022-06-18T00:00:00"/>
    <m/>
    <s v="Active"/>
    <n v="4"/>
    <m/>
    <n v="10.4"/>
    <s v="MSc"/>
    <n v="1303098.73"/>
    <x v="0"/>
    <n v="3.9"/>
    <x v="3"/>
    <x v="3"/>
    <x v="4"/>
  </r>
  <r>
    <s v="EMP-4165"/>
    <s v="Ada Osei"/>
    <x v="2"/>
    <s v="Senior Analyst"/>
    <s v="Female"/>
    <n v="43"/>
    <d v="2019-03-20T00:00:00"/>
    <m/>
    <s v="Active"/>
    <n v="1"/>
    <m/>
    <n v="0.4"/>
    <s v="HND"/>
    <n v="718000"/>
    <x v="0"/>
    <n v="7.2"/>
    <x v="3"/>
    <x v="0"/>
    <x v="2"/>
  </r>
  <r>
    <s v="EMP-4166"/>
    <s v="Zainab Ibrahim"/>
    <x v="6"/>
    <s v="Senior Analyst"/>
    <s v="Male"/>
    <n v="58"/>
    <d v="2021-02-14T00:00:00"/>
    <m/>
    <s v="Active"/>
    <n v="5"/>
    <m/>
    <n v="17.600000000000001"/>
    <s v="PhD"/>
    <n v="542393.42000000004"/>
    <x v="0"/>
    <n v="5.3"/>
    <x v="2"/>
    <x v="1"/>
    <x v="3"/>
  </r>
  <r>
    <s v="EMP-4167"/>
    <s v="Zainab Eze"/>
    <x v="0"/>
    <s v="Director"/>
    <s v="Male"/>
    <n v="44"/>
    <d v="2019-07-15T00:00:00"/>
    <d v="2021-05-24T00:00:00"/>
    <s v="Terminated"/>
    <n v="1"/>
    <m/>
    <n v="3.3"/>
    <s v="MSc"/>
    <n v="275787.01"/>
    <x v="1"/>
    <n v="1.9"/>
    <x v="3"/>
    <x v="2"/>
    <x v="2"/>
  </r>
  <r>
    <s v="EMP-4168"/>
    <s v="Chisom Eze"/>
    <x v="5"/>
    <s v="Executive"/>
    <s v="Female"/>
    <n v="32"/>
    <d v="2020-02-12T00:00:00"/>
    <d v="2021-05-24T00:00:00"/>
    <s v="Resigned"/>
    <n v="5"/>
    <m/>
    <n v="10.6"/>
    <s v="OND"/>
    <n v="902726.8"/>
    <x v="1"/>
    <n v="1.3"/>
    <x v="1"/>
    <x v="0"/>
    <x v="0"/>
  </r>
  <r>
    <s v="EMP-4169"/>
    <s v="Ada Garba"/>
    <x v="3"/>
    <s v="Executive"/>
    <s v="Female"/>
    <n v="41"/>
    <d v="2021-04-06T00:00:00"/>
    <m/>
    <s v="Active"/>
    <n v="4"/>
    <m/>
    <n v="9.3000000000000007"/>
    <s v="BSc"/>
    <n v="260654.47"/>
    <x v="0"/>
    <n v="5.0999999999999996"/>
    <x v="3"/>
    <x v="2"/>
    <x v="3"/>
  </r>
  <r>
    <s v="EMP-4170"/>
    <s v="Remi Musa"/>
    <x v="7"/>
    <s v="Director"/>
    <s v="Male"/>
    <n v="52"/>
    <d v="2022-07-25T00:00:00"/>
    <m/>
    <s v="Active"/>
    <n v="3"/>
    <m/>
    <n v="14.3"/>
    <s v="HND"/>
    <n v="386801.86"/>
    <x v="0"/>
    <n v="3.8"/>
    <x v="2"/>
    <x v="1"/>
    <x v="4"/>
  </r>
  <r>
    <s v="EMP-4171"/>
    <s v="Seun Osei"/>
    <x v="5"/>
    <s v="Senior Analyst"/>
    <s v="Male"/>
    <n v="29"/>
    <d v="2021-08-10T00:00:00"/>
    <m/>
    <s v="Active"/>
    <n v="3"/>
    <m/>
    <n v="17.600000000000001"/>
    <s v="BSc"/>
    <n v="640396.64"/>
    <x v="0"/>
    <n v="4.8"/>
    <x v="0"/>
    <x v="1"/>
    <x v="3"/>
  </r>
  <r>
    <s v="EMP-4172"/>
    <s v="Chisom Ibrahim"/>
    <x v="0"/>
    <s v="Executive"/>
    <s v="Female"/>
    <n v="58"/>
    <d v="2022-07-21T00:00:00"/>
    <m/>
    <s v="Active"/>
    <n v="2"/>
    <m/>
    <n v="4.2"/>
    <s v="OND"/>
    <n v="250118.1"/>
    <x v="0"/>
    <n v="3.9"/>
    <x v="2"/>
    <x v="2"/>
    <x v="4"/>
  </r>
  <r>
    <s v="EMP-4173"/>
    <s v="Ngozi Adeyemi"/>
    <x v="6"/>
    <s v="Associate"/>
    <s v="Female"/>
    <n v="32"/>
    <d v="2020-02-04T00:00:00"/>
    <d v="2023-03-21T00:00:00"/>
    <s v="Terminated"/>
    <n v="2"/>
    <m/>
    <n v="17.899999999999999"/>
    <s v="MSc"/>
    <n v="552212.23"/>
    <x v="1"/>
    <n v="3.1"/>
    <x v="1"/>
    <x v="1"/>
    <x v="0"/>
  </r>
  <r>
    <s v="EMP-4174"/>
    <s v="Halima Okonkwo"/>
    <x v="2"/>
    <s v="Senior Analyst"/>
    <s v="Male"/>
    <n v="50"/>
    <d v="2020-07-07T00:00:00"/>
    <d v="2025-07-01T00:00:00"/>
    <s v="Terminated"/>
    <n v="5"/>
    <m/>
    <n v="4.7"/>
    <s v="BSc"/>
    <n v="343169.82"/>
    <x v="1"/>
    <n v="5"/>
    <x v="3"/>
    <x v="1"/>
    <x v="0"/>
  </r>
  <r>
    <s v="EMP-4175"/>
    <s v="Sade Suleiman"/>
    <x v="5"/>
    <s v="Specialist"/>
    <s v="Female"/>
    <n v="46"/>
    <d v="2020-09-03T00:00:00"/>
    <d v="2022-03-16T00:00:00"/>
    <s v="Resigned"/>
    <n v="3"/>
    <m/>
    <n v="9.1"/>
    <s v="MSc"/>
    <n v="883763.22"/>
    <x v="1"/>
    <n v="1.5"/>
    <x v="3"/>
    <x v="0"/>
    <x v="0"/>
  </r>
  <r>
    <s v="EMP-4176"/>
    <s v="Olu Osei"/>
    <x v="3"/>
    <s v="Specialist"/>
    <s v="Male"/>
    <n v="54"/>
    <d v="2021-02-07T00:00:00"/>
    <d v="2022-05-14T00:00:00"/>
    <s v="Terminated"/>
    <n v="2"/>
    <m/>
    <n v="5.3"/>
    <s v="HND"/>
    <n v="663784.18999999994"/>
    <x v="1"/>
    <n v="1.3"/>
    <x v="2"/>
    <x v="1"/>
    <x v="3"/>
  </r>
  <r>
    <s v="EMP-4177"/>
    <s v="Emeka Suleiman"/>
    <x v="3"/>
    <s v="Coordinator"/>
    <s v="Female"/>
    <n v="38"/>
    <d v="2023-11-27T00:00:00"/>
    <m/>
    <s v="Active"/>
    <n v="5"/>
    <m/>
    <n v="3"/>
    <s v="OND"/>
    <n v="127669.58"/>
    <x v="0"/>
    <n v="2.5"/>
    <x v="1"/>
    <x v="2"/>
    <x v="1"/>
  </r>
  <r>
    <s v="EMP-4178"/>
    <s v="Seun Abiodun"/>
    <x v="1"/>
    <s v="Specialist"/>
    <s v="Male"/>
    <n v="30"/>
    <d v="2022-04-08T00:00:00"/>
    <m/>
    <s v="Active"/>
    <n v="3"/>
    <m/>
    <n v="6.3"/>
    <s v="HND"/>
    <n v="294510.8"/>
    <x v="0"/>
    <n v="4.0999999999999996"/>
    <x v="1"/>
    <x v="2"/>
    <x v="4"/>
  </r>
  <r>
    <s v="EMP-4179"/>
    <s v="Blessing Nwosu"/>
    <x v="4"/>
    <s v="Analyst"/>
    <s v="Male"/>
    <n v="56"/>
    <d v="2020-09-18T00:00:00"/>
    <d v="2021-07-22T00:00:00"/>
    <s v="Terminated"/>
    <n v="2"/>
    <m/>
    <n v="14.9"/>
    <s v="MSc"/>
    <n v="261950.31"/>
    <x v="1"/>
    <n v="0.8"/>
    <x v="2"/>
    <x v="2"/>
    <x v="0"/>
  </r>
  <r>
    <s v="EMP-4180"/>
    <s v="Femi Musa"/>
    <x v="4"/>
    <s v="Specialist"/>
    <s v="Female"/>
    <n v="42"/>
    <d v="2019-08-05T00:00:00"/>
    <m/>
    <s v="Active"/>
    <n v="10"/>
    <m/>
    <n v="-4.2"/>
    <s v="BSc"/>
    <n v="718000"/>
    <x v="0"/>
    <n v="6.8"/>
    <x v="3"/>
    <x v="0"/>
    <x v="2"/>
  </r>
  <r>
    <s v="EMP-4181"/>
    <s v="Femi Danjuma"/>
    <x v="2"/>
    <s v="Executive"/>
    <s v="Male"/>
    <n v="33"/>
    <d v="2020-10-01T00:00:00"/>
    <d v="2022-03-06T00:00:00"/>
    <s v="Resigned"/>
    <n v="4"/>
    <m/>
    <n v="11"/>
    <s v="PhD"/>
    <n v="788154.05"/>
    <x v="1"/>
    <n v="1.4"/>
    <x v="1"/>
    <x v="0"/>
    <x v="0"/>
  </r>
  <r>
    <s v="EMP-4182"/>
    <s v="Femi Okafor"/>
    <x v="5"/>
    <s v="Coordinator"/>
    <s v="Female"/>
    <n v="36"/>
    <d v="2020-08-15T00:00:00"/>
    <d v="2023-05-06T00:00:00"/>
    <s v="Resigned"/>
    <n v="2"/>
    <m/>
    <n v="2.2000000000000002"/>
    <s v="PhD"/>
    <n v="1008111.17"/>
    <x v="1"/>
    <n v="2.7"/>
    <x v="1"/>
    <x v="3"/>
    <x v="0"/>
  </r>
  <r>
    <s v="EMP-4183"/>
    <s v="Olu Musa"/>
    <x v="6"/>
    <s v="Associate"/>
    <s v="Female"/>
    <n v="37"/>
    <d v="2022-03-03T00:00:00"/>
    <d v="2025-06-20T00:00:00"/>
    <s v="Resigned"/>
    <n v="4"/>
    <m/>
    <n v="9.6"/>
    <s v="BSc"/>
    <n v="956987.82"/>
    <x v="1"/>
    <n v="3.3"/>
    <x v="1"/>
    <x v="0"/>
    <x v="4"/>
  </r>
  <r>
    <s v="EMP-4184"/>
    <s v="Ngozi Fashola"/>
    <x v="7"/>
    <s v="Analyst"/>
    <s v="Female"/>
    <n v="49"/>
    <d v="2019-10-07T00:00:00"/>
    <d v="2021-06-29T00:00:00"/>
    <s v="Resigned"/>
    <n v="1"/>
    <m/>
    <n v="7.8"/>
    <s v="MSc"/>
    <n v="94409.81"/>
    <x v="1"/>
    <n v="1.7"/>
    <x v="3"/>
    <x v="2"/>
    <x v="2"/>
  </r>
  <r>
    <s v="EMP-4185"/>
    <s v="Nkechi Adeyemi"/>
    <x v="2"/>
    <s v="Coordinator"/>
    <s v="Male"/>
    <n v="41"/>
    <d v="2021-05-02T00:00:00"/>
    <d v="2024-12-19T00:00:00"/>
    <s v="Terminated"/>
    <n v="3"/>
    <m/>
    <n v="15.9"/>
    <s v="BSc"/>
    <n v="559171.5"/>
    <x v="1"/>
    <n v="3.6"/>
    <x v="3"/>
    <x v="1"/>
    <x v="3"/>
  </r>
  <r>
    <s v="EMP-4186"/>
    <s v="Olu Adeyemi"/>
    <x v="2"/>
    <s v="Coordinator"/>
    <s v="Female"/>
    <n v="38"/>
    <d v="2021-04-07T00:00:00"/>
    <m/>
    <s v="Active"/>
    <n v="4"/>
    <m/>
    <n v="3.6"/>
    <s v="BSc"/>
    <n v="432866.25"/>
    <x v="0"/>
    <n v="5.0999999999999996"/>
    <x v="1"/>
    <x v="1"/>
    <x v="3"/>
  </r>
  <r>
    <s v="EMP-4187"/>
    <s v="Halima Adeyemi"/>
    <x v="3"/>
    <s v="Specialist"/>
    <s v="Male"/>
    <n v="39"/>
    <d v="2021-08-23T00:00:00"/>
    <m/>
    <s v="Active"/>
    <n v="3"/>
    <m/>
    <n v="19.8"/>
    <s v="OND"/>
    <n v="1203587.8999999999"/>
    <x v="0"/>
    <n v="4.8"/>
    <x v="1"/>
    <x v="3"/>
    <x v="3"/>
  </r>
  <r>
    <s v="EMP-4188"/>
    <s v="Blessing Adeleke"/>
    <x v="5"/>
    <s v="Associate"/>
    <s v="Female"/>
    <n v="28"/>
    <d v="2020-07-30T00:00:00"/>
    <m/>
    <s v="Active"/>
    <n v="4"/>
    <m/>
    <n v="13.4"/>
    <s v="OND"/>
    <n v="409544.3"/>
    <x v="0"/>
    <n v="5.8"/>
    <x v="0"/>
    <x v="1"/>
    <x v="0"/>
  </r>
  <r>
    <s v="EMP-4189"/>
    <s v="Halima Osei"/>
    <x v="4"/>
    <s v="Executive"/>
    <s v="Male"/>
    <n v="49"/>
    <d v="2022-02-19T00:00:00"/>
    <m/>
    <s v="Active"/>
    <n v="3"/>
    <m/>
    <n v="12"/>
    <s v="MSc"/>
    <n v="259844.34"/>
    <x v="0"/>
    <n v="4.3"/>
    <x v="3"/>
    <x v="2"/>
    <x v="4"/>
  </r>
  <r>
    <s v="EMP-4190"/>
    <s v="Ada Musa"/>
    <x v="1"/>
    <s v="Director"/>
    <s v="Male"/>
    <n v="37"/>
    <d v="2019-12-12T00:00:00"/>
    <m/>
    <s v="Active"/>
    <n v="5"/>
    <m/>
    <n v="9.1"/>
    <s v="OND"/>
    <n v="284649.82"/>
    <x v="0"/>
    <n v="6.5"/>
    <x v="1"/>
    <x v="2"/>
    <x v="2"/>
  </r>
  <r>
    <s v="EMP-4191"/>
    <s v="Musa Nwosu"/>
    <x v="7"/>
    <s v="Senior Analyst"/>
    <s v="Female"/>
    <n v="53"/>
    <d v="2023-09-18T00:00:00"/>
    <m/>
    <s v="Active"/>
    <n v="5"/>
    <m/>
    <n v="11.4"/>
    <s v="BSc"/>
    <n v="448798.39"/>
    <x v="0"/>
    <n v="2.7"/>
    <x v="2"/>
    <x v="1"/>
    <x v="1"/>
  </r>
  <r>
    <s v="EMP-4192"/>
    <s v="Yusuf Okonkwo"/>
    <x v="1"/>
    <s v="Senior Analyst"/>
    <s v="Female"/>
    <n v="35"/>
    <d v="2022-12-29T00:00:00"/>
    <m/>
    <s v="Active"/>
    <n v="2"/>
    <m/>
    <n v="10.1"/>
    <s v="PhD"/>
    <n v="82861.929999999993"/>
    <x v="0"/>
    <n v="3.4"/>
    <x v="1"/>
    <x v="2"/>
    <x v="4"/>
  </r>
  <r>
    <s v="EMP-4193"/>
    <s v="Emeka Okonkwo"/>
    <x v="2"/>
    <s v="Analyst"/>
    <s v="Female"/>
    <n v="33"/>
    <d v="2021-05-31T00:00:00"/>
    <m/>
    <s v="Active"/>
    <n v="4"/>
    <m/>
    <n v="1.5"/>
    <s v="BSc"/>
    <n v="934055.72"/>
    <x v="0"/>
    <n v="5"/>
    <x v="1"/>
    <x v="0"/>
    <x v="3"/>
  </r>
  <r>
    <s v="EMP-4194"/>
    <s v="Remi Okafor"/>
    <x v="4"/>
    <s v="Coordinator"/>
    <s v="Female"/>
    <n v="54"/>
    <d v="2023-02-27T00:00:00"/>
    <m/>
    <s v="Active"/>
    <n v="2"/>
    <m/>
    <n v="1.7"/>
    <s v="PhD"/>
    <n v="1402366.71"/>
    <x v="0"/>
    <n v="3.2"/>
    <x v="2"/>
    <x v="3"/>
    <x v="1"/>
  </r>
  <r>
    <s v="EMP-4195"/>
    <s v="Remi Musa"/>
    <x v="7"/>
    <s v="Analyst"/>
    <s v="Female"/>
    <n v="41"/>
    <d v="2019-07-25T00:00:00"/>
    <m/>
    <s v="Active"/>
    <n v="5"/>
    <m/>
    <n v="6.7"/>
    <s v="PhD"/>
    <n v="718000"/>
    <x v="0"/>
    <n v="6.8"/>
    <x v="3"/>
    <x v="0"/>
    <x v="2"/>
  </r>
  <r>
    <s v="EMP-4196"/>
    <s v="Blessing Abiodun"/>
    <x v="1"/>
    <s v="Specialist"/>
    <s v="Male"/>
    <n v="52"/>
    <d v="2022-03-26T00:00:00"/>
    <m/>
    <s v="Active"/>
    <n v="2"/>
    <m/>
    <n v="13.9"/>
    <s v="MSc"/>
    <n v="1323071.4099999999"/>
    <x v="0"/>
    <n v="4.2"/>
    <x v="2"/>
    <x v="3"/>
    <x v="4"/>
  </r>
  <r>
    <s v="EMP-4197"/>
    <s v="Musa Osei"/>
    <x v="3"/>
    <s v="Manager"/>
    <s v="Female"/>
    <n v="47"/>
    <d v="2021-01-16T00:00:00"/>
    <d v="2022-10-28T00:00:00"/>
    <s v="Terminated"/>
    <n v="3"/>
    <m/>
    <n v="7.1"/>
    <s v="MSc"/>
    <n v="416310.05"/>
    <x v="1"/>
    <n v="1.8"/>
    <x v="3"/>
    <x v="1"/>
    <x v="3"/>
  </r>
  <r>
    <s v="EMP-4198"/>
    <s v="Chisom Balogun"/>
    <x v="4"/>
    <s v="Specialist"/>
    <s v="Female"/>
    <n v="58"/>
    <d v="2020-03-23T00:00:00"/>
    <d v="2023-10-12T00:00:00"/>
    <s v="Terminated"/>
    <n v="0"/>
    <m/>
    <n v="2.9"/>
    <s v="HND"/>
    <n v="569416.35"/>
    <x v="1"/>
    <n v="3.6"/>
    <x v="2"/>
    <x v="1"/>
    <x v="0"/>
  </r>
  <r>
    <s v="EMP-4199"/>
    <s v="Zainab Nwosu"/>
    <x v="5"/>
    <s v="Associate"/>
    <s v="Female"/>
    <n v="56"/>
    <d v="2020-04-27T00:00:00"/>
    <d v="2023-08-18T00:00:00"/>
    <s v="Resigned"/>
    <n v="5"/>
    <m/>
    <n v="1"/>
    <s v="OND"/>
    <n v="307934.75"/>
    <x v="1"/>
    <n v="3.3"/>
    <x v="2"/>
    <x v="1"/>
    <x v="0"/>
  </r>
  <r>
    <s v="EMP-4200"/>
    <s v="Ada Danjuma"/>
    <x v="6"/>
    <s v="Analyst"/>
    <s v="Female"/>
    <n v="25"/>
    <d v="2023-03-08T00:00:00"/>
    <d v="2025-01-09T00:00:00"/>
    <s v="Resigned"/>
    <n v="5"/>
    <m/>
    <n v="6.1"/>
    <s v="MSc"/>
    <n v="978536.82"/>
    <x v="1"/>
    <n v="1.8"/>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9DB957-BE4B-4480-83FC-C2CBACF8BEB3}" name="PivotTable7" cacheId="8" applyNumberFormats="0" applyBorderFormats="0" applyFontFormats="0" applyPatternFormats="0" applyAlignmentFormats="0" applyWidthHeightFormats="1" dataCaption="Values" tag="ed0a2a9b-761f-4c75-9d97-7e5f5c31389c" updatedVersion="8" minRefreshableVersion="3" useAutoFormatting="1" itemPrintTitles="1" createdVersion="8" indent="0" outline="1" outlineData="1" multipleFieldFilters="0">
  <location ref="I1:J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Employee_ID"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Employee_ID"/>
    <pivotHierarchy dragToData="1"/>
    <pivotHierarchy dragToData="1"/>
    <pivotHierarchy dragToData="1" caption="Distinct Count of Employee_ID"/>
  </pivotHierarchies>
  <pivotTableStyleInfo name="PivotStyleMedium10"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703FD0-CEE4-4FAD-8468-72155CB3527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2:N7" firstHeaderRow="1" firstDataRow="1" firstDataCol="1"/>
  <pivotFields count="19">
    <pivotField showAll="0"/>
    <pivotField showAll="0"/>
    <pivotField showAll="0">
      <items count="9">
        <item x="6"/>
        <item x="4"/>
        <item x="2"/>
        <item x="5"/>
        <item x="3"/>
        <item x="0"/>
        <item x="1"/>
        <item x="7"/>
        <item t="default"/>
      </items>
    </pivotField>
    <pivotField showAll="0"/>
    <pivotField showAll="0"/>
    <pivotField showAll="0"/>
    <pivotField numFmtId="14" showAll="0"/>
    <pivotField showAll="0"/>
    <pivotField showAll="0"/>
    <pivotField showAll="0"/>
    <pivotField showAll="0"/>
    <pivotField showAll="0"/>
    <pivotField showAll="0"/>
    <pivotField dataField="1" numFmtId="164" showAll="0"/>
    <pivotField showAll="0">
      <items count="3">
        <item x="0"/>
        <item x="1"/>
        <item t="default"/>
      </items>
    </pivotField>
    <pivotField showAll="0"/>
    <pivotField axis="axisRow" showAll="0" sortType="ascending">
      <items count="5">
        <item x="1"/>
        <item x="3"/>
        <item x="2"/>
        <item x="0"/>
        <item t="default"/>
      </items>
    </pivotField>
    <pivotField showAll="0">
      <items count="5">
        <item x="0"/>
        <item x="2"/>
        <item x="1"/>
        <item x="3"/>
        <item t="default"/>
      </items>
    </pivotField>
    <pivotField showAll="0"/>
  </pivotFields>
  <rowFields count="1">
    <field x="16"/>
  </rowFields>
  <rowItems count="5">
    <i>
      <x/>
    </i>
    <i>
      <x v="1"/>
    </i>
    <i>
      <x v="2"/>
    </i>
    <i>
      <x v="3"/>
    </i>
    <i t="grand">
      <x/>
    </i>
  </rowItems>
  <colItems count="1">
    <i/>
  </colItems>
  <dataFields count="1">
    <dataField name="Sum of Salary_NG" fld="13"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2"/>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5C324-0362-463C-B8F2-275FD1ADB412}" name="PivotTable5" cacheId="6" applyNumberFormats="0" applyBorderFormats="0" applyFontFormats="0" applyPatternFormats="0" applyAlignmentFormats="0" applyWidthHeightFormats="1" dataCaption="Values" tag="4e88f9b3-5afb-41d9-b818-88412f05e205" updatedVersion="8" minRefreshableVersion="3" useAutoFormatting="1" subtotalHiddenItems="1" itemPrintTitles="1" createdVersion="8" indent="0" outline="1" outlineData="1" multipleFieldFilters="0" chartFormat="11">
  <location ref="A13:B22" firstHeaderRow="1" firstDataRow="1" firstDataCol="1"/>
  <pivotFields count="5">
    <pivotField axis="axisRow" allDrilled="1" subtotalTop="0" showAll="0"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2"/>
    </i>
    <i>
      <x v="4"/>
    </i>
    <i>
      <x v="5"/>
    </i>
    <i>
      <x/>
    </i>
    <i>
      <x v="3"/>
    </i>
    <i>
      <x v="6"/>
    </i>
    <i>
      <x v="1"/>
    </i>
    <i t="grand">
      <x/>
    </i>
  </rowItems>
  <colItems count="1">
    <i/>
  </colItems>
  <dataFields count="1">
    <dataField name="Average of Salary_NG" fld="1" subtotal="average" baseField="0" baseItem="0" numFmtId="167"/>
  </dataFields>
  <formats count="3">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_data].[Employment_Status].&amp;[Activ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leaned_data].[Age_Group].&amp;[30-40]"/>
        <member name="[Cleaned_data].[Age_Group].&amp;[Under 30]"/>
      </members>
    </pivotHierarchy>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_NG"/>
    <pivotHierarchy dragToData="1"/>
  </pivotHierarchies>
  <pivotTableStyleInfo name="PivotStyleMedium10"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9F187A-F509-455D-B86F-B61FB75903A5}" name="PivotTable12" cacheId="4" applyNumberFormats="0" applyBorderFormats="0" applyFontFormats="0" applyPatternFormats="0" applyAlignmentFormats="0" applyWidthHeightFormats="1" dataCaption="Values" tag="9716b4c2-f123-4ec2-9f5e-51d91fa70d4a" updatedVersion="8" minRefreshableVersion="3" useAutoFormatting="1" itemPrintTitles="1" createdVersion="8" indent="0" outline="1" outlineData="1" multipleFieldFilters="0" chartFormat="12">
  <location ref="H27:I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_ID" fld="1" subtotal="count" showDataAs="percentOfTotal" baseField="0" baseItem="0" numFmtId="10"/>
  </dataFields>
  <chartFormats count="4">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621663-24F2-4883-B57B-673C0BD293B0}" name="PivotTable3" cacheId="1" applyNumberFormats="0" applyBorderFormats="0" applyFontFormats="0" applyPatternFormats="0" applyAlignmentFormats="0" applyWidthHeightFormats="1" dataCaption="Values" tag="fa577f27-5427-44a3-823e-6e0e7420275f" updatedVersion="8" minRefreshableVersion="3" useAutoFormatting="1" subtotalHiddenItems="1" itemPrintTitles="1" createdVersion="8" indent="0" outline="1" outlineData="1" multipleFieldFilters="0" chartFormat="45">
  <location ref="A1:B9"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3"/>
    </i>
    <i>
      <x v="6"/>
    </i>
    <i>
      <x v="1"/>
    </i>
    <i>
      <x v="2"/>
    </i>
    <i>
      <x v="5"/>
    </i>
    <i>
      <x v="4"/>
    </i>
    <i>
      <x/>
    </i>
    <i t="grand">
      <x/>
    </i>
  </rowItems>
  <colItems count="1">
    <i/>
  </colItems>
  <dataFields count="1">
    <dataField name="Count of Employee_ID" fld="0" subtotal="count" baseField="0" baseItem="0"/>
  </dataFields>
  <chartFormats count="3">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0EDA61-3B8A-4B83-991B-0C1FBD61B7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1:L17" firstHeaderRow="1" firstDataRow="1" firstDataCol="1"/>
  <pivotFields count="19">
    <pivotField dataField="1" showAll="0"/>
    <pivotField showAll="0"/>
    <pivotField showAll="0">
      <items count="9">
        <item x="6"/>
        <item x="4"/>
        <item x="2"/>
        <item x="5"/>
        <item x="3"/>
        <item x="0"/>
        <item x="1"/>
        <item x="7"/>
        <item t="default"/>
      </items>
    </pivotField>
    <pivotField showAll="0"/>
    <pivotField showAll="0"/>
    <pivotField showAll="0"/>
    <pivotField numFmtId="14" showAll="0"/>
    <pivotField showAll="0"/>
    <pivotField showAll="0"/>
    <pivotField showAll="0"/>
    <pivotField showAll="0"/>
    <pivotField showAll="0"/>
    <pivotField showAll="0"/>
    <pivotField numFmtId="164" showAll="0"/>
    <pivotField showAll="0">
      <items count="3">
        <item x="0"/>
        <item x="1"/>
        <item t="default"/>
      </items>
    </pivotField>
    <pivotField showAll="0"/>
    <pivotField showAll="0"/>
    <pivotField showAll="0">
      <items count="5">
        <item x="0"/>
        <item x="2"/>
        <item x="1"/>
        <item x="3"/>
        <item t="default"/>
      </items>
    </pivotField>
    <pivotField axis="axisRow" showAll="0">
      <items count="6">
        <item x="2"/>
        <item x="0"/>
        <item x="3"/>
        <item x="4"/>
        <item x="1"/>
        <item t="default"/>
      </items>
    </pivotField>
  </pivotFields>
  <rowFields count="1">
    <field x="18"/>
  </rowFields>
  <rowItems count="6">
    <i>
      <x/>
    </i>
    <i>
      <x v="1"/>
    </i>
    <i>
      <x v="2"/>
    </i>
    <i>
      <x v="3"/>
    </i>
    <i>
      <x v="4"/>
    </i>
    <i t="grand">
      <x/>
    </i>
  </rowItems>
  <colItems count="1">
    <i/>
  </colItems>
  <dataFields count="1">
    <dataField name="Count of Employe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B7853D-14C1-4A6E-93DD-BBBF65E78A00}" name="PivotTable8" cacheId="9" applyNumberFormats="0" applyBorderFormats="0" applyFontFormats="0" applyPatternFormats="0" applyAlignmentFormats="0" applyWidthHeightFormats="1" dataCaption="Values" tag="cc0770b7-85a6-4876-95d7-0e06ee7d92bc" updatedVersion="8" minRefreshableVersion="3" useAutoFormatting="1" itemPrintTitles="1" createdVersion="8" indent="0" outline="1" outlineData="1" multipleFieldFilters="0" chartFormat="6">
  <location ref="H13:I1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loye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49BFAA-1358-4DDA-ADB2-B3F1D36448F0}" name="PivotTable9" cacheId="10" applyNumberFormats="0" applyBorderFormats="0" applyFontFormats="0" applyPatternFormats="0" applyAlignmentFormats="0" applyWidthHeightFormats="1" dataCaption="Values" tag="9f939ea9-a4e0-41ef-a837-3a32a415e9a7" updatedVersion="8" minRefreshableVersion="3" useAutoFormatting="1" subtotalHiddenItems="1" itemPrintTitles="1" createdVersion="8" indent="0" outline="1" outlineData="1" multipleFieldFilters="0" chartFormat="10" rowHeaderCaption=" ">
  <location ref="D18:E26"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6"/>
    </i>
    <i>
      <x/>
    </i>
    <i>
      <x v="3"/>
    </i>
    <i>
      <x v="5"/>
    </i>
    <i>
      <x v="2"/>
    </i>
    <i>
      <x v="4"/>
    </i>
    <i t="grand">
      <x/>
    </i>
  </rowItems>
  <colItems count="1">
    <i/>
  </colItems>
  <dataFields count="1">
    <dataField name="Average of Salary_NG2" fld="1" subtotal="average" baseField="0" baseItem="0" numFmtId="167"/>
  </dataFields>
  <formats count="5">
    <format dxfId="13">
      <pivotArea outline="0" collapsedLevelsAreSubtotals="1" fieldPosition="0"/>
    </format>
    <format dxfId="12">
      <pivotArea collapsedLevelsAreSubtotals="1" fieldPosition="0">
        <references count="1">
          <reference field="0" count="1">
            <x v="0"/>
          </reference>
        </references>
      </pivotArea>
    </format>
    <format dxfId="11">
      <pivotArea dataOnly="0" labelOnly="1" outline="0" axis="axisValues" fieldPosition="0"/>
    </format>
    <format dxfId="10">
      <pivotArea collapsedLevelsAreSubtotals="1" fieldPosition="0">
        <references count="1">
          <reference field="0" count="1">
            <x v="1"/>
          </reference>
        </references>
      </pivotArea>
    </format>
    <format dxfId="9">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_NG2"/>
    <pivotHierarchy dragToData="1"/>
  </pivotHierarchies>
  <pivotTableStyleInfo name="PivotStyleMedium10"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55F88C-A091-490C-AB26-A3F71960FC04}" name="PivotTable4" cacheId="5" applyNumberFormats="0" applyBorderFormats="0" applyFontFormats="0" applyPatternFormats="0" applyAlignmentFormats="0" applyWidthHeightFormats="1" dataCaption="Values" tag="d8971e15-afc0-4770-890b-1c880798701a" updatedVersion="8" minRefreshableVersion="3" useAutoFormatting="1" itemPrintTitles="1" createdVersion="8" indent="0" outline="1" outlineData="1" multipleFieldFilters="0">
  <location ref="D1:G10"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Fields count="1">
    <field x="1"/>
  </colFields>
  <colItems count="3">
    <i>
      <x/>
    </i>
    <i>
      <x v="1"/>
    </i>
    <i t="grand">
      <x/>
    </i>
  </colItems>
  <dataFields count="1">
    <dataField name="Count of Employee_ID"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2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B72ECD-850A-4446-8965-B93B53EE909A}" name="PivotTable10" cacheId="2" applyNumberFormats="0" applyBorderFormats="0" applyFontFormats="0" applyPatternFormats="0" applyAlignmentFormats="0" applyWidthHeightFormats="1" dataCaption="Values" tag="8909f22f-2d3c-4cd9-bda6-70e36577f944" updatedVersion="8" minRefreshableVersion="3" useAutoFormatting="1" subtotalHiddenItems="1" itemPrintTitles="1" createdVersion="8" indent="0" outline="1" outlineData="1" multipleFieldFilters="0" chartFormat="9">
  <location ref="H20:I25" firstHeaderRow="1" firstDataRow="1" firstDataCol="1"/>
  <pivotFields count="3">
    <pivotField axis="axisRow" allDrilled="1" subtotalTop="0" showAll="0" sortType="descending" defaultSubtotal="0" defaultAttributeDrillState="1">
      <items count="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Employee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5D30FE-EA5B-4508-B2A3-FFA369D4CA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19:L25" firstHeaderRow="1" firstDataRow="1" firstDataCol="1"/>
  <pivotFields count="19">
    <pivotField showAll="0"/>
    <pivotField showAll="0"/>
    <pivotField showAll="0">
      <items count="9">
        <item x="6"/>
        <item x="4"/>
        <item x="2"/>
        <item x="5"/>
        <item x="3"/>
        <item x="0"/>
        <item x="1"/>
        <item x="7"/>
        <item t="default"/>
      </items>
    </pivotField>
    <pivotField showAll="0"/>
    <pivotField showAll="0"/>
    <pivotField showAll="0"/>
    <pivotField numFmtId="14" showAll="0"/>
    <pivotField showAll="0"/>
    <pivotField showAll="0"/>
    <pivotField dataField="1" showAll="0"/>
    <pivotField showAll="0"/>
    <pivotField showAll="0"/>
    <pivotField showAll="0"/>
    <pivotField numFmtId="164" showAll="0"/>
    <pivotField showAll="0">
      <items count="3">
        <item x="0"/>
        <item x="1"/>
        <item t="default"/>
      </items>
    </pivotField>
    <pivotField showAll="0"/>
    <pivotField showAll="0"/>
    <pivotField showAll="0">
      <items count="5">
        <item x="0"/>
        <item x="2"/>
        <item x="1"/>
        <item x="3"/>
        <item t="default"/>
      </items>
    </pivotField>
    <pivotField axis="axisRow" showAll="0">
      <items count="6">
        <item x="2"/>
        <item x="0"/>
        <item x="3"/>
        <item x="4"/>
        <item x="1"/>
        <item t="default"/>
      </items>
    </pivotField>
  </pivotFields>
  <rowFields count="1">
    <field x="18"/>
  </rowFields>
  <rowItems count="6">
    <i>
      <x/>
    </i>
    <i>
      <x v="1"/>
    </i>
    <i>
      <x v="2"/>
    </i>
    <i>
      <x v="3"/>
    </i>
    <i>
      <x v="4"/>
    </i>
    <i t="grand">
      <x/>
    </i>
  </rowItems>
  <colItems count="1">
    <i/>
  </colItems>
  <dataFields count="1">
    <dataField name="Sum of Performance_Score" fld="9" baseField="0" baseItem="0"/>
  </dataFields>
  <chartFormats count="6">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8" count="1" selected="0">
            <x v="0"/>
          </reference>
        </references>
      </pivotArea>
    </chartFormat>
    <chartFormat chart="11" format="12">
      <pivotArea type="data" outline="0" fieldPosition="0">
        <references count="2">
          <reference field="4294967294" count="1" selected="0">
            <x v="0"/>
          </reference>
          <reference field="18" count="1" selected="0">
            <x v="1"/>
          </reference>
        </references>
      </pivotArea>
    </chartFormat>
    <chartFormat chart="11" format="13">
      <pivotArea type="data" outline="0" fieldPosition="0">
        <references count="2">
          <reference field="4294967294" count="1" selected="0">
            <x v="0"/>
          </reference>
          <reference field="18" count="1" selected="0">
            <x v="2"/>
          </reference>
        </references>
      </pivotArea>
    </chartFormat>
    <chartFormat chart="11" format="14">
      <pivotArea type="data" outline="0" fieldPosition="0">
        <references count="2">
          <reference field="4294967294" count="1" selected="0">
            <x v="0"/>
          </reference>
          <reference field="18" count="1" selected="0">
            <x v="3"/>
          </reference>
        </references>
      </pivotArea>
    </chartFormat>
    <chartFormat chart="11" format="15">
      <pivotArea type="data" outline="0" fieldPosition="0">
        <references count="2">
          <reference field="4294967294" count="1" selected="0">
            <x v="0"/>
          </reference>
          <reference field="18" count="1" selected="0">
            <x v="4"/>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617F41-CBFE-4675-A0B9-8714B2039A61}" name="PivotTable11" cacheId="3" applyNumberFormats="0" applyBorderFormats="0" applyFontFormats="0" applyPatternFormats="0" applyAlignmentFormats="0" applyWidthHeightFormats="1" dataCaption="Values" tag="419bc738-7279-47f9-90e2-4bd5e192230b" updatedVersion="8" minRefreshableVersion="3" useAutoFormatting="1" itemPrintTitles="1" createdVersion="8" indent="0" outline="1" outlineData="1" multipleFieldFilters="0" chartFormat="9">
  <location ref="A24:B3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name="Average of Salary_NG" fld="1" subtotal="average" baseField="0" baseItem="1" numFmtId="167"/>
  </dataFields>
  <formats count="3">
    <format dxfId="16">
      <pivotArea outline="0" collapsedLevelsAreSubtotals="1" fieldPosition="0">
        <references count="1">
          <reference field="4294967294" count="1" selected="0">
            <x v="0"/>
          </reference>
        </references>
      </pivotArea>
    </format>
    <format dxfId="15">
      <pivotArea dataOnly="0" labelOnly="1" outline="0" fieldPosition="0">
        <references count="1">
          <reference field="4294967294" count="1">
            <x v="0"/>
          </reference>
        </references>
      </pivotArea>
    </format>
    <format dxfId="14">
      <pivotArea outline="0" fieldPosition="0">
        <references count="1">
          <reference field="4294967294" count="1">
            <x v="0"/>
          </reference>
        </references>
      </pivotArea>
    </format>
  </formats>
  <chartFormats count="1">
    <chartFormat chart="5"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605EDB-E00C-4CEC-B066-1D4BF6D3874C}" name="PivotTable6" cacheId="7" applyNumberFormats="0" applyBorderFormats="0" applyFontFormats="0" applyPatternFormats="0" applyAlignmentFormats="0" applyWidthHeightFormats="1" dataCaption="Values" tag="02e0ab6a-8f0f-43cf-9c2f-840423fdf75e" updatedVersion="8" minRefreshableVersion="3" useAutoFormatting="1" subtotalHiddenItems="1" itemPrintTitles="1" createdVersion="8" indent="0" outline="1" outlineData="1" multipleFieldFilters="0" chartFormat="8">
  <location ref="D13:E1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_ID" fld="0" subtotal="count" showDataAs="percentOfTotal" baseField="0" baseItem="0" numFmtId="10"/>
  </dataFields>
  <formats count="3">
    <format dxfId="19">
      <pivotArea outline="0" collapsedLevelsAreSubtotals="1"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Cleaned_data].[Hire_year].&amp;[2020]"/>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8F3B92-113E-4EC5-BD9B-40E3692C3F1F}" autoFormatId="16" applyNumberFormats="0" applyBorderFormats="0" applyFontFormats="0" applyPatternFormats="0" applyAlignmentFormats="0" applyWidthHeightFormats="0">
  <queryTableRefresh nextId="22" unboundColumnsRight="1">
    <queryTableFields count="19">
      <queryTableField id="1" name="Employee_ID" tableColumnId="1"/>
      <queryTableField id="2" name="Full_Name" tableColumnId="2"/>
      <queryTableField id="3" name="Department" tableColumnId="3"/>
      <queryTableField id="4" name="Job_Title" tableColumnId="4"/>
      <queryTableField id="5" name="Gender" tableColumnId="5"/>
      <queryTableField id="6" name="Age" tableColumnId="6"/>
      <queryTableField id="7" name="Date_Hired" tableColumnId="7"/>
      <queryTableField id="8" name="Date_Left" tableColumnId="8"/>
      <queryTableField id="9" name="Employment_Status" tableColumnId="9"/>
      <queryTableField id="10" name="Performance_Score" tableColumnId="10"/>
      <queryTableField id="11" dataBound="0" tableColumnId="11"/>
      <queryTableField id="19" name="Years_Experience" tableColumnId="19"/>
      <queryTableField id="12" name="Education_Level" tableColumnId="12"/>
      <queryTableField id="13" name="Salary_NG" tableColumnId="13"/>
      <queryTableField id="14" name="Attrition" tableColumnId="14"/>
      <queryTableField id="15" name="Tenure_year" tableColumnId="15"/>
      <queryTableField id="16" name="Age_Group" tableColumnId="16"/>
      <queryTableField id="17" name="Salary_bamd" tableColumnId="17"/>
      <queryTableField id="21" dataBound="0" tableColumnId="18"/>
    </queryTableFields>
    <queryTableDeletedFields count="1">
      <deletedField name="Years_Experienc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DBB5F9F-42B8-42A0-AB55-AEED8FF1C618}" sourceName="[Cleaned_data].[Age_Group]">
  <pivotTables>
    <pivotTable tabId="12" name="PivotTable11"/>
    <pivotTable tabId="12" name="PivotTable8"/>
    <pivotTable tabId="12" name="PivotTable9"/>
    <pivotTable tabId="12" name="PivotTable3"/>
    <pivotTable tabId="12" name="PivotTable10"/>
    <pivotTable tabId="12" name="PivotTable12"/>
    <pivotTable tabId="12" name="PivotTable6"/>
    <pivotTable tabId="12" name="PivotTable7"/>
    <pivotTable tabId="12" name="PivotTable4"/>
  </pivotTables>
  <data>
    <olap pivotCacheId="1658040349">
      <levels count="2">
        <level uniqueName="[Cleaned_data].[Age_Group].[(All)]" sourceCaption="(All)" count="0"/>
        <level uniqueName="[Cleaned_data].[Age_Group].[Age_Group]" sourceCaption="Age_Group" count="4">
          <ranges>
            <range startItem="0">
              <i n="[Cleaned_data].[Age_Group].&amp;[30-40]" c="30-40"/>
              <i n="[Cleaned_data].[Age_Group].&amp;[41-50]" c="41-50"/>
              <i n="[Cleaned_data].[Age_Group].&amp;[Above 50]" c="Above 50"/>
              <i n="[Cleaned_data].[Age_Group].&amp;[Under 30]" c="Under 30"/>
            </range>
          </ranges>
        </level>
      </levels>
      <selections count="1">
        <selection n="[Cleaned_data].[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097B1A0D-624C-4B59-BEEC-B46B96DD0B1B}" sourceName="[Cleaned_data].[Employment_Status]">
  <pivotTables>
    <pivotTable tabId="12" name="PivotTable12"/>
    <pivotTable tabId="12" name="PivotTable10"/>
    <pivotTable tabId="12" name="PivotTable11"/>
    <pivotTable tabId="12" name="PivotTable3"/>
    <pivotTable tabId="12" name="PivotTable4"/>
    <pivotTable tabId="12" name="PivotTable6"/>
    <pivotTable tabId="12" name="PivotTable7"/>
    <pivotTable tabId="12" name="PivotTable8"/>
    <pivotTable tabId="12" name="PivotTable9"/>
  </pivotTables>
  <data>
    <olap pivotCacheId="1658040349">
      <levels count="2">
        <level uniqueName="[Cleaned_data].[Employment_Status].[(All)]" sourceCaption="(All)" count="0"/>
        <level uniqueName="[Cleaned_data].[Employment_Status].[Employment_Status]" sourceCaption="Employment_Status" count="3">
          <ranges>
            <range startItem="0">
              <i n="[Cleaned_data].[Employment_Status].&amp;[Active]" c="Active"/>
              <i n="[Cleaned_data].[Employment_Status].&amp;[Resigned]" c="Resigned"/>
              <i n="[Cleaned_data].[Employment_Status].&amp;[Terminated]" c="Terminated"/>
            </range>
          </ranges>
        </level>
      </levels>
      <selections count="1">
        <selection n="[Cleaned_data].[Employment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904461E-D97F-4E01-AD83-CEE9291A70EC}" sourceName="Department">
  <pivotTables>
    <pivotTable tabId="12" name="PivotTable15"/>
    <pivotTable tabId="12" name="PivotTable1"/>
    <pivotTable tabId="12" name="PivotTable2"/>
  </pivotTables>
  <data>
    <tabular pivotCacheId="285477377">
      <items count="8">
        <i x="6" s="1"/>
        <i x="4" s="1"/>
        <i x="2" s="1"/>
        <i x="5" s="1"/>
        <i x="3" s="1"/>
        <i x="0" s="1"/>
        <i x="1"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md" xr10:uid="{C6A0BD1E-A943-40AB-AAA1-8AF9EA7EE283}" sourceName="Salary_bamd">
  <pivotTables>
    <pivotTable tabId="12" name="PivotTable15"/>
    <pivotTable tabId="12" name="PivotTable1"/>
    <pivotTable tabId="12" name="PivotTable2"/>
  </pivotTables>
  <data>
    <tabular pivotCacheId="285477377">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FEC43AB-7C7B-429F-8234-9044B71DB3C1}" sourceName="Attrition">
  <pivotTables>
    <pivotTable tabId="12" name="PivotTable15"/>
    <pivotTable tabId="12" name="PivotTable1"/>
    <pivotTable tabId="12" name="PivotTable2"/>
  </pivotTables>
  <data>
    <tabular pivotCacheId="285477377">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year" xr10:uid="{311DA5E8-9485-4D2B-9EC5-2D778635420C}" sourceName="[Cleaned_data].[Hire_year]">
  <pivotTables>
    <pivotTable tabId="12" name="PivotTable3"/>
    <pivotTable tabId="12" name="PivotTable10"/>
    <pivotTable tabId="12" name="PivotTable11"/>
    <pivotTable tabId="12" name="PivotTable12"/>
    <pivotTable tabId="12" name="PivotTable4"/>
    <pivotTable tabId="12" name="PivotTable5"/>
    <pivotTable tabId="12" name="PivotTable6"/>
    <pivotTable tabId="12" name="PivotTable7"/>
    <pivotTable tabId="12" name="PivotTable8"/>
    <pivotTable tabId="12" name="PivotTable9"/>
  </pivotTables>
  <data>
    <olap pivotCacheId="1658040349">
      <levels count="2">
        <level uniqueName="[Cleaned_data].[Hire_year].[(All)]" sourceCaption="(All)" count="0"/>
        <level uniqueName="[Cleaned_data].[Hire_year].[Hire_year]" sourceCaption="Hire_year" count="5">
          <ranges>
            <range startItem="0">
              <i n="[Cleaned_data].[Hire_year].&amp;[2019]" c="2019"/>
              <i n="[Cleaned_data].[Hire_year].&amp;[2020]" c="2020"/>
              <i n="[Cleaned_data].[Hire_year].&amp;[2021]" c="2021"/>
              <i n="[Cleaned_data].[Hire_year].&amp;[2022]" c="2022"/>
              <i n="[Cleaned_data].[Hire_year].&amp;[2023]" c="2023"/>
            </range>
          </ranges>
        </level>
      </levels>
      <selections count="1">
        <selection n="[Cleaned_data].[Hire_year].&amp;[202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378222C3-9AC5-4D0C-8590-21E6071AC150}" cache="Slicer_Age_Group" caption="Age_Group" startItem="1" level="1" rowHeight="241300"/>
  <slicer name="Employment_Status" xr10:uid="{E2266835-8949-491D-900A-4DB82CC84196}" cache="Slicer_Employment_Status" caption="Employment_Status" startItem="1" level="1" rowHeight="241300"/>
  <slicer name="Hire_year" xr10:uid="{C8C28D19-9B6C-417F-A679-82D612395C8A}" cache="Slicer_Hire_year" caption="Hire_year" startItem="1" level="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197B950-61D4-4C42-958B-F46982A21E59}" cache="Slicer_Department" caption="Department" startItem="3" rowHeight="209550"/>
  <slicer name="Salary_bamd" xr10:uid="{3A6DD6D2-D313-44E8-9ECD-194FCE2F0638}" cache="Slicer_Salary_bamd" caption="Salary_bamd" rowHeight="209550"/>
  <slicer name="Attrition" xr10:uid="{5BF84A2B-CA42-4AA0-B1C1-87F383BC4703}" cache="Slicer_Attrition" caption="Attrition"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3368A3-4C47-403A-85DA-93155CCC1728}" name="Cleaned_data" displayName="Cleaned_data" ref="A1:S201" tableType="queryTable" totalsRowShown="0">
  <autoFilter ref="A1:S201" xr:uid="{D93368A3-4C47-403A-85DA-93155CCC1728}"/>
  <tableColumns count="19">
    <tableColumn id="1" xr3:uid="{D0C68A47-A59B-4A3C-B5B2-BE771EF50681}" uniqueName="1" name="Employee_ID" queryTableFieldId="1" dataDxfId="33"/>
    <tableColumn id="2" xr3:uid="{8E606B58-3247-4AD6-9BE6-1AE9530AB791}" uniqueName="2" name="Full_Name" queryTableFieldId="2" dataDxfId="32"/>
    <tableColumn id="3" xr3:uid="{603385D2-B900-4DA2-8823-E187FF97CFC6}" uniqueName="3" name="Department" queryTableFieldId="3" dataDxfId="31"/>
    <tableColumn id="4" xr3:uid="{81FA117D-E570-4294-990C-4AA208CD0EAF}" uniqueName="4" name="Job_Title" queryTableFieldId="4" dataDxfId="30"/>
    <tableColumn id="5" xr3:uid="{BABF7636-E9F4-4343-81F4-BC33244F8773}" uniqueName="5" name="Gender" queryTableFieldId="5" dataDxfId="29"/>
    <tableColumn id="6" xr3:uid="{B8319FF1-8F12-42B5-B51F-F08799F65AF2}" uniqueName="6" name="Age" queryTableFieldId="6"/>
    <tableColumn id="7" xr3:uid="{ED1166BD-9F8C-4732-91C7-318854C5C743}" uniqueName="7" name="Date_Hired" queryTableFieldId="7" dataDxfId="28"/>
    <tableColumn id="8" xr3:uid="{30552ADA-E86C-4C0D-9ECD-35240D454713}" uniqueName="8" name="Date_Left" queryTableFieldId="8" dataDxfId="27"/>
    <tableColumn id="9" xr3:uid="{7A8C5458-6716-4F2B-B04F-C6539DE52944}" uniqueName="9" name="Employment_Status" queryTableFieldId="9" dataDxfId="26"/>
    <tableColumn id="10" xr3:uid="{D26245BE-F481-4CB6-958C-CDBDF04D1802}" uniqueName="10" name="Performance_Score" queryTableFieldId="10"/>
    <tableColumn id="11" xr3:uid="{503B9343-4BF0-4BB8-BB18-D28708C6ABF2}" uniqueName="11" name="Column1" queryTableFieldId="11"/>
    <tableColumn id="19" xr3:uid="{6F88ACEB-3054-4B18-BFF7-FCE300EF17D3}" uniqueName="19" name="Years_Experience" queryTableFieldId="19"/>
    <tableColumn id="12" xr3:uid="{1F774AB8-4E29-4305-809C-5C3F4E91469F}" uniqueName="12" name="Education_Level" queryTableFieldId="12" dataDxfId="25"/>
    <tableColumn id="13" xr3:uid="{AF90EE73-A2CC-4938-B301-87460019F68B}" uniqueName="13" name="Salary_NG" queryTableFieldId="13" dataDxfId="24"/>
    <tableColumn id="14" xr3:uid="{BDBA2FDD-7A9A-4F1D-9C5F-0F5D5E50423C}" uniqueName="14" name="Attrition" queryTableFieldId="14"/>
    <tableColumn id="15" xr3:uid="{1F51C955-F96A-4606-9CBA-1253B129F7A5}" uniqueName="15" name="Tenure_year" queryTableFieldId="15"/>
    <tableColumn id="16" xr3:uid="{05A89C6D-4CB6-494B-B488-08FEAACC8A78}" uniqueName="16" name="Age_Group" queryTableFieldId="16"/>
    <tableColumn id="17" xr3:uid="{C926C7C4-841B-401B-A978-87A92C7EF755}" uniqueName="17" name="Salary_bamd" queryTableFieldId="17"/>
    <tableColumn id="18" xr3:uid="{DF5E5629-1FC0-4B76-B469-28BE6A69A0EC}" uniqueName="18" name="Hire_year" queryTableFieldId="21" dataDxfId="23">
      <calculatedColumnFormula>YEAR(Cleaned_data[[#This Row],[Date_Hired]])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78A124-E280-4000-A71A-0D914A5133DA}" name="Table2" displayName="Table2" ref="A1:D201" totalsRowShown="0">
  <autoFilter ref="A1:D201" xr:uid="{DF78A124-E280-4000-A71A-0D914A5133DA}"/>
  <tableColumns count="4">
    <tableColumn id="1" xr3:uid="{6B5BC6E6-FBDC-41EF-98FF-0EB5611FDD7C}" name="Employee_ID" dataDxfId="22"/>
    <tableColumn id="2" xr3:uid="{5E395AF3-E6E0-4E6F-90F5-722A2D669EFE}" name="Date_Hired" dataDxfId="21"/>
    <tableColumn id="3" xr3:uid="{DC599DD6-C963-4D02-AEAC-85778D7B6F3C}" name="Salary_NG" dataDxfId="20"/>
    <tableColumn id="4" xr3:uid="{800FCEE9-97DC-48B5-AAC4-CD4051B351C9}" name="Salary_ban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0B192B-AB40-4C01-AA96-67A325EC4F51}" name="Table3" displayName="Table3" ref="A1:C9" totalsRowShown="0" headerRowDxfId="5" dataDxfId="4">
  <autoFilter ref="A1:C9" xr:uid="{B00B192B-AB40-4C01-AA96-67A325EC4F51}"/>
  <tableColumns count="3">
    <tableColumn id="1" xr3:uid="{0B7652E8-F0BA-4108-A1F4-DC1C5E3095FE}" name="DepartmentID" dataDxfId="3"/>
    <tableColumn id="2" xr3:uid="{2AA3AB7D-F323-4801-9BEE-858F1C0B350C}" name="DepartmentName" dataDxfId="2"/>
    <tableColumn id="3" xr3:uid="{91E42410-2916-4594-BAF2-0B2C5CCACBD4}" name="DepartmentHead" dataDxfId="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8EDA1A-DDF8-4D07-85E3-519A13EDC6EE}" name="Table4" displayName="Table4" ref="A1:D201" totalsRowShown="0">
  <autoFilter ref="A1:D201" xr:uid="{488EDA1A-DDF8-4D07-85E3-519A13EDC6EE}"/>
  <tableColumns count="4">
    <tableColumn id="1" xr3:uid="{7AA0A06D-E257-4487-8792-F02E1645D024}" name="Employee_ID" dataDxfId="0"/>
    <tableColumn id="2" xr3:uid="{E7202E79-4E9C-43F9-BA05-0527B713F168}" name="Performance_Score"/>
    <tableColumn id="3" xr3:uid="{39306FA7-F727-4779-892C-7F90B4BC4FF4}" name="Years_Experience"/>
    <tableColumn id="4" xr3:uid="{DB490EBA-2F78-4547-9263-028D8F8AEE1C}" name="Attri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4"/>
  <sheetViews>
    <sheetView tabSelected="1" topLeftCell="D1" workbookViewId="0">
      <pane ySplit="1" topLeftCell="A2" activePane="bottomLeft" state="frozen"/>
      <selection pane="bottomLeft" activeCell="Q13" sqref="Q13"/>
    </sheetView>
  </sheetViews>
  <sheetFormatPr defaultRowHeight="15" x14ac:dyDescent="0.25"/>
  <cols>
    <col min="1" max="1" width="16.85546875" customWidth="1"/>
    <col min="2" max="2" width="20" customWidth="1"/>
    <col min="3" max="3" width="13" customWidth="1"/>
    <col min="4" max="4" width="17" customWidth="1"/>
    <col min="5" max="5" width="9" customWidth="1"/>
    <col min="6" max="6" width="7" customWidth="1"/>
    <col min="7" max="7" width="13" customWidth="1"/>
    <col min="8" max="8" width="12" customWidth="1"/>
    <col min="9" max="9" width="18" customWidth="1"/>
    <col min="10" max="10" width="14" customWidth="1"/>
    <col min="11" max="12" width="17" customWidth="1"/>
    <col min="13" max="13" width="16" customWidth="1"/>
    <col min="14" max="14" width="11" customWidth="1"/>
  </cols>
  <sheetData>
    <row r="1" spans="1:14"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t="s">
        <v>15</v>
      </c>
      <c r="C2" s="2" t="s">
        <v>16</v>
      </c>
      <c r="D2" s="2" t="s">
        <v>17</v>
      </c>
      <c r="E2" s="2" t="s">
        <v>18</v>
      </c>
      <c r="F2" s="2">
        <v>29</v>
      </c>
      <c r="G2" s="2" t="s">
        <v>19</v>
      </c>
      <c r="H2" s="2"/>
      <c r="I2" s="2" t="s">
        <v>20</v>
      </c>
      <c r="J2" s="2">
        <v>872210.52</v>
      </c>
      <c r="K2" s="2">
        <v>5</v>
      </c>
      <c r="L2" s="2">
        <v>4.8</v>
      </c>
      <c r="M2" s="2" t="s">
        <v>21</v>
      </c>
      <c r="N2" s="2" t="s">
        <v>22</v>
      </c>
    </row>
    <row r="3" spans="1:14" x14ac:dyDescent="0.25">
      <c r="A3" s="3" t="s">
        <v>23</v>
      </c>
      <c r="B3" s="3" t="s">
        <v>24</v>
      </c>
      <c r="C3" s="3" t="s">
        <v>25</v>
      </c>
      <c r="D3" s="3" t="s">
        <v>26</v>
      </c>
      <c r="E3" s="3" t="s">
        <v>27</v>
      </c>
      <c r="F3" s="3">
        <v>33</v>
      </c>
      <c r="G3" s="3" t="s">
        <v>28</v>
      </c>
      <c r="H3" s="3" t="s">
        <v>29</v>
      </c>
      <c r="I3" s="3" t="s">
        <v>30</v>
      </c>
      <c r="J3" s="3">
        <v>339681.12</v>
      </c>
      <c r="K3" s="3">
        <v>3</v>
      </c>
      <c r="L3" s="3">
        <v>2.2999999999999998</v>
      </c>
      <c r="M3" s="3" t="s">
        <v>21</v>
      </c>
      <c r="N3" s="3" t="s">
        <v>31</v>
      </c>
    </row>
    <row r="4" spans="1:14" x14ac:dyDescent="0.25">
      <c r="A4" s="2" t="s">
        <v>32</v>
      </c>
      <c r="B4" s="2" t="s">
        <v>33</v>
      </c>
      <c r="C4" s="2" t="s">
        <v>16</v>
      </c>
      <c r="D4" s="2" t="s">
        <v>17</v>
      </c>
      <c r="E4" s="2" t="s">
        <v>18</v>
      </c>
      <c r="F4" s="2">
        <v>26</v>
      </c>
      <c r="G4" s="2" t="s">
        <v>34</v>
      </c>
      <c r="H4" s="2" t="s">
        <v>35</v>
      </c>
      <c r="I4" s="2" t="s">
        <v>30</v>
      </c>
      <c r="J4" s="2">
        <v>925355.42</v>
      </c>
      <c r="K4" s="2">
        <v>5</v>
      </c>
      <c r="L4" s="2">
        <v>1.5</v>
      </c>
      <c r="M4" s="2" t="s">
        <v>36</v>
      </c>
      <c r="N4" s="2" t="s">
        <v>31</v>
      </c>
    </row>
    <row r="5" spans="1:14" x14ac:dyDescent="0.25">
      <c r="A5" s="3" t="s">
        <v>37</v>
      </c>
      <c r="B5" s="3" t="s">
        <v>38</v>
      </c>
      <c r="C5" s="3" t="s">
        <v>39</v>
      </c>
      <c r="D5" s="3" t="s">
        <v>40</v>
      </c>
      <c r="E5" s="3" t="s">
        <v>18</v>
      </c>
      <c r="F5" s="3">
        <v>56</v>
      </c>
      <c r="G5" s="3" t="s">
        <v>41</v>
      </c>
      <c r="H5" s="3"/>
      <c r="I5" s="3" t="s">
        <v>20</v>
      </c>
      <c r="J5" s="3">
        <v>970438.15</v>
      </c>
      <c r="K5" s="3">
        <v>5</v>
      </c>
      <c r="L5" s="3">
        <v>19.5</v>
      </c>
      <c r="M5" s="3" t="s">
        <v>42</v>
      </c>
      <c r="N5" s="3" t="s">
        <v>22</v>
      </c>
    </row>
    <row r="6" spans="1:14" x14ac:dyDescent="0.25">
      <c r="A6" s="2" t="s">
        <v>43</v>
      </c>
      <c r="B6" s="2" t="s">
        <v>44</v>
      </c>
      <c r="C6" s="2" t="s">
        <v>45</v>
      </c>
      <c r="D6" s="2" t="s">
        <v>17</v>
      </c>
      <c r="E6" s="2" t="s">
        <v>18</v>
      </c>
      <c r="F6" s="2">
        <v>58</v>
      </c>
      <c r="G6" s="2" t="s">
        <v>46</v>
      </c>
      <c r="H6" s="2"/>
      <c r="I6" s="2" t="s">
        <v>20</v>
      </c>
      <c r="J6" s="2">
        <v>276446.95</v>
      </c>
      <c r="K6" s="2">
        <v>4</v>
      </c>
      <c r="L6" s="2">
        <v>0.3</v>
      </c>
      <c r="M6" s="2" t="s">
        <v>47</v>
      </c>
      <c r="N6" s="2" t="s">
        <v>22</v>
      </c>
    </row>
    <row r="7" spans="1:14" x14ac:dyDescent="0.25">
      <c r="A7" s="3" t="s">
        <v>48</v>
      </c>
      <c r="B7" s="3" t="s">
        <v>49</v>
      </c>
      <c r="C7" s="3" t="s">
        <v>50</v>
      </c>
      <c r="D7" s="3" t="s">
        <v>51</v>
      </c>
      <c r="E7" s="3" t="s">
        <v>27</v>
      </c>
      <c r="F7" s="3">
        <v>29</v>
      </c>
      <c r="G7" s="3" t="s">
        <v>52</v>
      </c>
      <c r="H7" s="3" t="s">
        <v>53</v>
      </c>
      <c r="I7" s="3" t="s">
        <v>30</v>
      </c>
      <c r="J7" s="3">
        <v>159457.66</v>
      </c>
      <c r="K7" s="3">
        <v>4</v>
      </c>
      <c r="L7" s="3">
        <v>16.5</v>
      </c>
      <c r="M7" s="3" t="s">
        <v>47</v>
      </c>
      <c r="N7" s="3" t="s">
        <v>31</v>
      </c>
    </row>
    <row r="8" spans="1:14" x14ac:dyDescent="0.25">
      <c r="A8" s="2" t="s">
        <v>54</v>
      </c>
      <c r="B8" s="2" t="s">
        <v>55</v>
      </c>
      <c r="C8" s="2" t="s">
        <v>39</v>
      </c>
      <c r="D8" s="2" t="s">
        <v>26</v>
      </c>
      <c r="E8" s="4" t="s">
        <v>56</v>
      </c>
      <c r="F8" s="2">
        <v>44</v>
      </c>
      <c r="G8" s="2" t="s">
        <v>57</v>
      </c>
      <c r="H8" s="2" t="s">
        <v>58</v>
      </c>
      <c r="I8" s="2" t="s">
        <v>59</v>
      </c>
      <c r="J8" s="2">
        <v>168321.51</v>
      </c>
      <c r="K8" s="2">
        <v>4</v>
      </c>
      <c r="L8" s="2">
        <v>2.9</v>
      </c>
      <c r="M8" s="2" t="s">
        <v>47</v>
      </c>
      <c r="N8" s="2" t="s">
        <v>31</v>
      </c>
    </row>
    <row r="9" spans="1:14" x14ac:dyDescent="0.25">
      <c r="A9" s="3" t="s">
        <v>60</v>
      </c>
      <c r="B9" s="3" t="s">
        <v>61</v>
      </c>
      <c r="C9" s="3" t="s">
        <v>39</v>
      </c>
      <c r="D9" s="3" t="s">
        <v>40</v>
      </c>
      <c r="E9" s="3" t="s">
        <v>18</v>
      </c>
      <c r="F9" s="3">
        <v>46</v>
      </c>
      <c r="G9" s="3" t="s">
        <v>62</v>
      </c>
      <c r="H9" s="3"/>
      <c r="I9" s="3" t="s">
        <v>20</v>
      </c>
      <c r="J9" s="3">
        <v>1294403.69</v>
      </c>
      <c r="K9" s="3">
        <v>2</v>
      </c>
      <c r="L9" s="3">
        <v>5.2</v>
      </c>
      <c r="M9" s="3" t="s">
        <v>47</v>
      </c>
      <c r="N9" s="3" t="s">
        <v>22</v>
      </c>
    </row>
    <row r="10" spans="1:14" x14ac:dyDescent="0.25">
      <c r="A10" s="2" t="s">
        <v>63</v>
      </c>
      <c r="B10" s="2" t="s">
        <v>64</v>
      </c>
      <c r="C10" s="2" t="s">
        <v>65</v>
      </c>
      <c r="D10" s="2" t="s">
        <v>26</v>
      </c>
      <c r="E10" s="2" t="s">
        <v>18</v>
      </c>
      <c r="F10" s="2">
        <v>36</v>
      </c>
      <c r="G10" s="2" t="s">
        <v>66</v>
      </c>
      <c r="H10" s="2"/>
      <c r="I10" s="2" t="s">
        <v>20</v>
      </c>
      <c r="J10" s="2">
        <v>618413.71</v>
      </c>
      <c r="K10" s="2">
        <v>5</v>
      </c>
      <c r="L10" s="2">
        <v>14.2</v>
      </c>
      <c r="M10" s="4" t="s">
        <v>67</v>
      </c>
      <c r="N10" s="2" t="s">
        <v>22</v>
      </c>
    </row>
    <row r="11" spans="1:14" x14ac:dyDescent="0.25">
      <c r="A11" s="3" t="s">
        <v>68</v>
      </c>
      <c r="B11" s="3" t="s">
        <v>69</v>
      </c>
      <c r="C11" s="3" t="s">
        <v>39</v>
      </c>
      <c r="D11" s="3" t="s">
        <v>40</v>
      </c>
      <c r="E11" s="3" t="s">
        <v>27</v>
      </c>
      <c r="F11" s="3">
        <v>40</v>
      </c>
      <c r="G11" s="3" t="s">
        <v>70</v>
      </c>
      <c r="H11" s="3"/>
      <c r="I11" s="3" t="s">
        <v>20</v>
      </c>
      <c r="J11" s="3">
        <v>724307.49</v>
      </c>
      <c r="K11" s="3">
        <v>2</v>
      </c>
      <c r="L11" s="3">
        <v>0.4</v>
      </c>
      <c r="M11" s="3" t="s">
        <v>71</v>
      </c>
      <c r="N11" s="3" t="s">
        <v>22</v>
      </c>
    </row>
    <row r="12" spans="1:14" x14ac:dyDescent="0.25">
      <c r="A12" s="2" t="s">
        <v>72</v>
      </c>
      <c r="B12" s="2" t="s">
        <v>73</v>
      </c>
      <c r="C12" s="2" t="s">
        <v>50</v>
      </c>
      <c r="D12" s="2" t="s">
        <v>74</v>
      </c>
      <c r="E12" s="2" t="s">
        <v>18</v>
      </c>
      <c r="F12" s="2">
        <v>27</v>
      </c>
      <c r="G12" s="2" t="s">
        <v>75</v>
      </c>
      <c r="H12" s="2" t="s">
        <v>76</v>
      </c>
      <c r="I12" s="2" t="s">
        <v>59</v>
      </c>
      <c r="J12" s="2">
        <v>1043803.98</v>
      </c>
      <c r="K12" s="2">
        <v>4</v>
      </c>
      <c r="L12" s="2">
        <v>3.3</v>
      </c>
      <c r="M12" s="2" t="s">
        <v>71</v>
      </c>
      <c r="N12" s="2" t="s">
        <v>31</v>
      </c>
    </row>
    <row r="13" spans="1:14" x14ac:dyDescent="0.25">
      <c r="A13" s="3" t="s">
        <v>77</v>
      </c>
      <c r="B13" s="3" t="s">
        <v>78</v>
      </c>
      <c r="C13" s="3" t="s">
        <v>79</v>
      </c>
      <c r="D13" s="3" t="s">
        <v>80</v>
      </c>
      <c r="E13" s="3" t="s">
        <v>18</v>
      </c>
      <c r="F13" s="3">
        <v>49</v>
      </c>
      <c r="G13" s="3" t="s">
        <v>81</v>
      </c>
      <c r="H13" s="3"/>
      <c r="I13" s="3" t="s">
        <v>20</v>
      </c>
      <c r="J13" s="3">
        <v>1307309.75</v>
      </c>
      <c r="K13" s="3">
        <v>1</v>
      </c>
      <c r="L13" s="3">
        <v>17.2</v>
      </c>
      <c r="M13" s="3" t="s">
        <v>42</v>
      </c>
      <c r="N13" s="3" t="s">
        <v>22</v>
      </c>
    </row>
    <row r="14" spans="1:14" x14ac:dyDescent="0.25">
      <c r="A14" s="2" t="s">
        <v>82</v>
      </c>
      <c r="B14" s="2" t="s">
        <v>83</v>
      </c>
      <c r="C14" s="2" t="s">
        <v>25</v>
      </c>
      <c r="D14" s="2" t="s">
        <v>51</v>
      </c>
      <c r="E14" s="2" t="s">
        <v>27</v>
      </c>
      <c r="F14" s="2">
        <v>55</v>
      </c>
      <c r="G14" s="2" t="s">
        <v>84</v>
      </c>
      <c r="H14" s="2"/>
      <c r="I14" s="2" t="s">
        <v>20</v>
      </c>
      <c r="J14" s="2">
        <v>648584.73</v>
      </c>
      <c r="K14" s="2">
        <v>3</v>
      </c>
      <c r="L14" s="2">
        <v>7.6</v>
      </c>
      <c r="M14" s="2" t="s">
        <v>21</v>
      </c>
      <c r="N14" s="2" t="s">
        <v>22</v>
      </c>
    </row>
    <row r="15" spans="1:14" x14ac:dyDescent="0.25">
      <c r="A15" s="3" t="s">
        <v>85</v>
      </c>
      <c r="B15" s="3" t="s">
        <v>86</v>
      </c>
      <c r="C15" s="3" t="s">
        <v>25</v>
      </c>
      <c r="D15" s="3" t="s">
        <v>87</v>
      </c>
      <c r="E15" s="4" t="s">
        <v>88</v>
      </c>
      <c r="F15" s="3">
        <v>30</v>
      </c>
      <c r="G15" s="3" t="s">
        <v>89</v>
      </c>
      <c r="H15" s="3" t="s">
        <v>90</v>
      </c>
      <c r="I15" s="3" t="s">
        <v>59</v>
      </c>
      <c r="J15" s="3">
        <v>381203.33</v>
      </c>
      <c r="K15" s="3">
        <v>5</v>
      </c>
      <c r="L15" s="3">
        <v>12.5</v>
      </c>
      <c r="M15" s="3" t="s">
        <v>21</v>
      </c>
      <c r="N15" s="3" t="s">
        <v>31</v>
      </c>
    </row>
    <row r="16" spans="1:14" x14ac:dyDescent="0.25">
      <c r="A16" s="2" t="s">
        <v>91</v>
      </c>
      <c r="B16" s="2" t="s">
        <v>92</v>
      </c>
      <c r="C16" s="2" t="s">
        <v>50</v>
      </c>
      <c r="D16" s="2" t="s">
        <v>87</v>
      </c>
      <c r="E16" s="2" t="s">
        <v>18</v>
      </c>
      <c r="F16" s="2">
        <v>39</v>
      </c>
      <c r="G16" s="2" t="s">
        <v>93</v>
      </c>
      <c r="H16" s="2"/>
      <c r="I16" s="2" t="s">
        <v>20</v>
      </c>
      <c r="J16" s="4"/>
      <c r="K16" s="2">
        <v>3</v>
      </c>
      <c r="L16" s="2">
        <v>1.2</v>
      </c>
      <c r="M16" s="2" t="s">
        <v>21</v>
      </c>
      <c r="N16" s="2" t="s">
        <v>22</v>
      </c>
    </row>
    <row r="17" spans="1:14" x14ac:dyDescent="0.25">
      <c r="A17" s="3" t="s">
        <v>94</v>
      </c>
      <c r="B17" s="3" t="s">
        <v>95</v>
      </c>
      <c r="C17" s="3" t="s">
        <v>39</v>
      </c>
      <c r="D17" s="3" t="s">
        <v>96</v>
      </c>
      <c r="E17" s="3" t="s">
        <v>18</v>
      </c>
      <c r="F17" s="3">
        <v>45</v>
      </c>
      <c r="G17" s="3" t="s">
        <v>97</v>
      </c>
      <c r="H17" s="3" t="s">
        <v>98</v>
      </c>
      <c r="I17" s="3" t="s">
        <v>59</v>
      </c>
      <c r="J17" s="3">
        <v>146963.95000000001</v>
      </c>
      <c r="K17" s="3">
        <v>2</v>
      </c>
      <c r="L17" s="3">
        <v>9.9</v>
      </c>
      <c r="M17" s="3" t="s">
        <v>21</v>
      </c>
      <c r="N17" s="3" t="s">
        <v>31</v>
      </c>
    </row>
    <row r="18" spans="1:14" x14ac:dyDescent="0.25">
      <c r="A18" s="2" t="s">
        <v>99</v>
      </c>
      <c r="B18" s="2" t="s">
        <v>100</v>
      </c>
      <c r="C18" s="2" t="s">
        <v>50</v>
      </c>
      <c r="D18" s="2" t="s">
        <v>87</v>
      </c>
      <c r="E18" s="2" t="s">
        <v>18</v>
      </c>
      <c r="F18" s="2">
        <v>46</v>
      </c>
      <c r="G18" s="4" t="s">
        <v>101</v>
      </c>
      <c r="H18" s="4"/>
      <c r="I18" s="2" t="s">
        <v>20</v>
      </c>
      <c r="J18" s="2">
        <v>1387642.98</v>
      </c>
      <c r="K18" s="2">
        <v>3</v>
      </c>
      <c r="L18" s="2">
        <v>16.399999999999999</v>
      </c>
      <c r="M18" s="2" t="s">
        <v>42</v>
      </c>
      <c r="N18" s="2" t="s">
        <v>22</v>
      </c>
    </row>
    <row r="19" spans="1:14" x14ac:dyDescent="0.25">
      <c r="A19" s="3" t="s">
        <v>102</v>
      </c>
      <c r="B19" s="3" t="s">
        <v>103</v>
      </c>
      <c r="C19" s="3" t="s">
        <v>39</v>
      </c>
      <c r="D19" s="3" t="s">
        <v>26</v>
      </c>
      <c r="E19" s="3" t="s">
        <v>27</v>
      </c>
      <c r="F19" s="3">
        <v>54</v>
      </c>
      <c r="G19" s="3" t="s">
        <v>104</v>
      </c>
      <c r="H19" s="3"/>
      <c r="I19" s="3" t="s">
        <v>20</v>
      </c>
      <c r="J19" s="3">
        <v>1127352.8600000001</v>
      </c>
      <c r="K19" s="4">
        <v>0</v>
      </c>
      <c r="L19" s="3">
        <v>10.8</v>
      </c>
      <c r="M19" s="4" t="s">
        <v>105</v>
      </c>
      <c r="N19" s="3" t="s">
        <v>22</v>
      </c>
    </row>
    <row r="20" spans="1:14" x14ac:dyDescent="0.25">
      <c r="A20" s="2" t="s">
        <v>106</v>
      </c>
      <c r="B20" s="2" t="s">
        <v>107</v>
      </c>
      <c r="C20" s="2" t="s">
        <v>16</v>
      </c>
      <c r="D20" s="2" t="s">
        <v>17</v>
      </c>
      <c r="E20" s="2" t="s">
        <v>27</v>
      </c>
      <c r="F20" s="2">
        <v>58</v>
      </c>
      <c r="G20" s="2" t="s">
        <v>108</v>
      </c>
      <c r="H20" s="2" t="s">
        <v>109</v>
      </c>
      <c r="I20" s="2" t="s">
        <v>59</v>
      </c>
      <c r="J20" s="2">
        <v>650714.81999999995</v>
      </c>
      <c r="K20" s="2">
        <v>1</v>
      </c>
      <c r="L20" s="2">
        <v>4.2</v>
      </c>
      <c r="M20" s="2" t="s">
        <v>21</v>
      </c>
      <c r="N20" s="2" t="s">
        <v>31</v>
      </c>
    </row>
    <row r="21" spans="1:14" x14ac:dyDescent="0.25">
      <c r="A21" s="3" t="s">
        <v>110</v>
      </c>
      <c r="B21" s="3" t="s">
        <v>111</v>
      </c>
      <c r="C21" s="3" t="s">
        <v>112</v>
      </c>
      <c r="D21" s="3" t="s">
        <v>80</v>
      </c>
      <c r="E21" s="3" t="s">
        <v>18</v>
      </c>
      <c r="F21" s="3">
        <v>54</v>
      </c>
      <c r="G21" s="3" t="s">
        <v>113</v>
      </c>
      <c r="H21" s="3"/>
      <c r="I21" s="3" t="s">
        <v>20</v>
      </c>
      <c r="J21" s="3">
        <v>992561.84</v>
      </c>
      <c r="K21" s="3">
        <v>3</v>
      </c>
      <c r="L21" s="3">
        <v>7.1</v>
      </c>
      <c r="M21" s="3" t="s">
        <v>36</v>
      </c>
      <c r="N21" s="3" t="s">
        <v>22</v>
      </c>
    </row>
    <row r="22" spans="1:14" x14ac:dyDescent="0.25">
      <c r="A22" s="2" t="s">
        <v>114</v>
      </c>
      <c r="B22" s="2" t="s">
        <v>115</v>
      </c>
      <c r="C22" s="2" t="s">
        <v>65</v>
      </c>
      <c r="D22" s="2" t="s">
        <v>96</v>
      </c>
      <c r="E22" s="4" t="s">
        <v>56</v>
      </c>
      <c r="F22" s="2">
        <v>40</v>
      </c>
      <c r="G22" s="2" t="s">
        <v>116</v>
      </c>
      <c r="H22" s="2"/>
      <c r="I22" s="2" t="s">
        <v>20</v>
      </c>
      <c r="J22" s="2">
        <v>1068311.98</v>
      </c>
      <c r="K22" s="2">
        <v>1</v>
      </c>
      <c r="L22" s="2">
        <v>9.6</v>
      </c>
      <c r="M22" s="2" t="s">
        <v>47</v>
      </c>
      <c r="N22" s="2" t="s">
        <v>22</v>
      </c>
    </row>
    <row r="23" spans="1:14" x14ac:dyDescent="0.25">
      <c r="A23" s="3" t="s">
        <v>117</v>
      </c>
      <c r="B23" s="3" t="s">
        <v>118</v>
      </c>
      <c r="C23" s="3" t="s">
        <v>65</v>
      </c>
      <c r="D23" s="3" t="s">
        <v>26</v>
      </c>
      <c r="E23" s="3" t="s">
        <v>27</v>
      </c>
      <c r="F23" s="3">
        <v>48</v>
      </c>
      <c r="G23" s="3" t="s">
        <v>119</v>
      </c>
      <c r="H23" s="3"/>
      <c r="I23" s="3" t="s">
        <v>20</v>
      </c>
      <c r="J23" s="3">
        <v>955755.03</v>
      </c>
      <c r="K23" s="3">
        <v>4</v>
      </c>
      <c r="L23" s="3">
        <v>17.5</v>
      </c>
      <c r="M23" s="3" t="s">
        <v>47</v>
      </c>
      <c r="N23" s="4"/>
    </row>
    <row r="24" spans="1:14" x14ac:dyDescent="0.25">
      <c r="A24" s="2" t="s">
        <v>120</v>
      </c>
      <c r="B24" s="2" t="s">
        <v>121</v>
      </c>
      <c r="C24" s="2" t="s">
        <v>79</v>
      </c>
      <c r="D24" s="2" t="s">
        <v>40</v>
      </c>
      <c r="E24" s="2" t="s">
        <v>27</v>
      </c>
      <c r="F24" s="2">
        <v>32</v>
      </c>
      <c r="G24" s="2" t="s">
        <v>122</v>
      </c>
      <c r="H24" s="2"/>
      <c r="I24" s="2" t="s">
        <v>20</v>
      </c>
      <c r="J24" s="2">
        <v>866969.06</v>
      </c>
      <c r="K24" s="2">
        <v>5</v>
      </c>
      <c r="L24" s="2">
        <v>15</v>
      </c>
      <c r="M24" s="2" t="s">
        <v>47</v>
      </c>
      <c r="N24" s="2" t="s">
        <v>22</v>
      </c>
    </row>
    <row r="25" spans="1:14" x14ac:dyDescent="0.25">
      <c r="A25" s="3" t="s">
        <v>123</v>
      </c>
      <c r="B25" s="3" t="s">
        <v>124</v>
      </c>
      <c r="C25" s="3" t="s">
        <v>25</v>
      </c>
      <c r="D25" s="3" t="s">
        <v>40</v>
      </c>
      <c r="E25" s="3" t="s">
        <v>27</v>
      </c>
      <c r="F25" s="3">
        <v>58</v>
      </c>
      <c r="G25" s="3" t="s">
        <v>125</v>
      </c>
      <c r="H25" s="3"/>
      <c r="I25" s="3" t="s">
        <v>20</v>
      </c>
      <c r="J25" s="3">
        <v>631365.69999999995</v>
      </c>
      <c r="K25" s="3">
        <v>3</v>
      </c>
      <c r="L25" s="3">
        <v>13.1</v>
      </c>
      <c r="M25" s="3" t="s">
        <v>21</v>
      </c>
      <c r="N25" s="3" t="s">
        <v>22</v>
      </c>
    </row>
    <row r="26" spans="1:14" x14ac:dyDescent="0.25">
      <c r="A26" s="2" t="s">
        <v>126</v>
      </c>
      <c r="B26" s="2" t="s">
        <v>127</v>
      </c>
      <c r="C26" s="2" t="s">
        <v>112</v>
      </c>
      <c r="D26" s="2" t="s">
        <v>74</v>
      </c>
      <c r="E26" s="2" t="s">
        <v>18</v>
      </c>
      <c r="F26" s="2">
        <v>50</v>
      </c>
      <c r="G26" s="2" t="s">
        <v>128</v>
      </c>
      <c r="H26" s="2" t="s">
        <v>129</v>
      </c>
      <c r="I26" s="2" t="s">
        <v>59</v>
      </c>
      <c r="J26" s="2">
        <v>779793.35</v>
      </c>
      <c r="K26" s="2">
        <v>3</v>
      </c>
      <c r="L26" s="2">
        <v>6.9</v>
      </c>
      <c r="M26" s="2" t="s">
        <v>47</v>
      </c>
      <c r="N26" s="2" t="s">
        <v>31</v>
      </c>
    </row>
    <row r="27" spans="1:14" x14ac:dyDescent="0.25">
      <c r="A27" s="3" t="s">
        <v>130</v>
      </c>
      <c r="B27" s="3" t="s">
        <v>131</v>
      </c>
      <c r="C27" s="3" t="s">
        <v>65</v>
      </c>
      <c r="D27" s="3" t="s">
        <v>51</v>
      </c>
      <c r="E27" s="3" t="s">
        <v>27</v>
      </c>
      <c r="F27" s="3">
        <v>23</v>
      </c>
      <c r="G27" s="3" t="s">
        <v>132</v>
      </c>
      <c r="H27" s="3"/>
      <c r="I27" s="3" t="s">
        <v>20</v>
      </c>
      <c r="J27" s="3">
        <v>803839.55</v>
      </c>
      <c r="K27" s="3">
        <v>4</v>
      </c>
      <c r="L27" s="3">
        <v>4.5999999999999996</v>
      </c>
      <c r="M27" s="3" t="s">
        <v>21</v>
      </c>
      <c r="N27" s="3" t="s">
        <v>22</v>
      </c>
    </row>
    <row r="28" spans="1:14" x14ac:dyDescent="0.25">
      <c r="A28" s="2" t="s">
        <v>133</v>
      </c>
      <c r="B28" s="2" t="s">
        <v>49</v>
      </c>
      <c r="C28" s="2" t="s">
        <v>39</v>
      </c>
      <c r="D28" s="2" t="s">
        <v>80</v>
      </c>
      <c r="E28" s="2" t="s">
        <v>18</v>
      </c>
      <c r="F28" s="2">
        <v>27</v>
      </c>
      <c r="G28" s="2" t="s">
        <v>134</v>
      </c>
      <c r="H28" s="2"/>
      <c r="I28" s="2" t="s">
        <v>20</v>
      </c>
      <c r="J28" s="2">
        <v>588950.28</v>
      </c>
      <c r="K28" s="2">
        <v>4</v>
      </c>
      <c r="L28" s="2">
        <v>5.6</v>
      </c>
      <c r="M28" s="4" t="s">
        <v>42</v>
      </c>
      <c r="N28" s="2" t="s">
        <v>22</v>
      </c>
    </row>
    <row r="29" spans="1:14" x14ac:dyDescent="0.25">
      <c r="A29" s="3" t="s">
        <v>135</v>
      </c>
      <c r="B29" s="3" t="s">
        <v>136</v>
      </c>
      <c r="C29" s="3" t="s">
        <v>112</v>
      </c>
      <c r="D29" s="3" t="s">
        <v>17</v>
      </c>
      <c r="E29" s="4" t="s">
        <v>137</v>
      </c>
      <c r="F29" s="3">
        <v>58</v>
      </c>
      <c r="G29" s="3" t="s">
        <v>138</v>
      </c>
      <c r="H29" s="3" t="s">
        <v>139</v>
      </c>
      <c r="I29" s="3" t="s">
        <v>59</v>
      </c>
      <c r="J29" s="3">
        <v>473873.91</v>
      </c>
      <c r="K29" s="3">
        <v>3</v>
      </c>
      <c r="L29" s="3">
        <v>1.1000000000000001</v>
      </c>
      <c r="M29" s="3" t="s">
        <v>21</v>
      </c>
      <c r="N29" s="3" t="s">
        <v>31</v>
      </c>
    </row>
    <row r="30" spans="1:14" x14ac:dyDescent="0.25">
      <c r="A30" s="2" t="s">
        <v>140</v>
      </c>
      <c r="B30" s="2" t="s">
        <v>141</v>
      </c>
      <c r="C30" s="2" t="s">
        <v>16</v>
      </c>
      <c r="D30" s="2" t="s">
        <v>51</v>
      </c>
      <c r="E30" s="2" t="s">
        <v>27</v>
      </c>
      <c r="F30" s="2">
        <v>52</v>
      </c>
      <c r="G30" s="2" t="s">
        <v>142</v>
      </c>
      <c r="H30" s="2"/>
      <c r="I30" s="2" t="s">
        <v>20</v>
      </c>
      <c r="J30" s="2">
        <v>760893.91</v>
      </c>
      <c r="K30" s="2">
        <v>4</v>
      </c>
      <c r="L30" s="2">
        <v>14.5</v>
      </c>
      <c r="M30" s="2" t="s">
        <v>21</v>
      </c>
      <c r="N30" s="2" t="s">
        <v>22</v>
      </c>
    </row>
    <row r="31" spans="1:14" x14ac:dyDescent="0.25">
      <c r="A31" s="3" t="s">
        <v>143</v>
      </c>
      <c r="B31" s="3" t="s">
        <v>144</v>
      </c>
      <c r="C31" s="3" t="s">
        <v>112</v>
      </c>
      <c r="D31" s="3" t="s">
        <v>74</v>
      </c>
      <c r="E31" s="3" t="s">
        <v>18</v>
      </c>
      <c r="F31" s="3">
        <v>53</v>
      </c>
      <c r="G31" s="3" t="s">
        <v>145</v>
      </c>
      <c r="H31" s="3"/>
      <c r="I31" s="3" t="s">
        <v>20</v>
      </c>
      <c r="J31" s="4"/>
      <c r="K31" s="3">
        <v>5</v>
      </c>
      <c r="L31" s="4">
        <v>-1.2</v>
      </c>
      <c r="M31" s="3" t="s">
        <v>42</v>
      </c>
      <c r="N31" s="3" t="s">
        <v>22</v>
      </c>
    </row>
    <row r="32" spans="1:14" x14ac:dyDescent="0.25">
      <c r="A32" s="2" t="s">
        <v>146</v>
      </c>
      <c r="B32" s="2" t="s">
        <v>107</v>
      </c>
      <c r="C32" s="2" t="s">
        <v>112</v>
      </c>
      <c r="D32" s="2" t="s">
        <v>51</v>
      </c>
      <c r="E32" s="2" t="s">
        <v>18</v>
      </c>
      <c r="F32" s="2">
        <v>23</v>
      </c>
      <c r="G32" s="2" t="s">
        <v>147</v>
      </c>
      <c r="H32" s="2"/>
      <c r="I32" s="2" t="s">
        <v>20</v>
      </c>
      <c r="J32" s="2">
        <v>1434665.5</v>
      </c>
      <c r="K32" s="2">
        <v>2</v>
      </c>
      <c r="L32" s="2">
        <v>15.5</v>
      </c>
      <c r="M32" s="2" t="s">
        <v>21</v>
      </c>
      <c r="N32" s="2" t="s">
        <v>22</v>
      </c>
    </row>
    <row r="33" spans="1:14" x14ac:dyDescent="0.25">
      <c r="A33" s="3" t="s">
        <v>148</v>
      </c>
      <c r="B33" s="3" t="s">
        <v>149</v>
      </c>
      <c r="C33" s="3" t="s">
        <v>39</v>
      </c>
      <c r="D33" s="3" t="s">
        <v>17</v>
      </c>
      <c r="E33" s="3" t="s">
        <v>27</v>
      </c>
      <c r="F33" s="3">
        <v>36</v>
      </c>
      <c r="G33" s="3" t="s">
        <v>150</v>
      </c>
      <c r="H33" s="3"/>
      <c r="I33" s="3" t="s">
        <v>20</v>
      </c>
      <c r="J33" s="3">
        <v>1188750.06</v>
      </c>
      <c r="K33" s="3">
        <v>3</v>
      </c>
      <c r="L33" s="3">
        <v>6.6</v>
      </c>
      <c r="M33" s="3" t="s">
        <v>47</v>
      </c>
      <c r="N33" s="3" t="s">
        <v>22</v>
      </c>
    </row>
    <row r="34" spans="1:14" x14ac:dyDescent="0.25">
      <c r="A34" s="2" t="s">
        <v>151</v>
      </c>
      <c r="B34" s="2" t="s">
        <v>107</v>
      </c>
      <c r="C34" s="2" t="s">
        <v>79</v>
      </c>
      <c r="D34" s="2" t="s">
        <v>74</v>
      </c>
      <c r="E34" s="2" t="s">
        <v>27</v>
      </c>
      <c r="F34" s="2">
        <v>52</v>
      </c>
      <c r="G34" s="2" t="s">
        <v>152</v>
      </c>
      <c r="H34" s="2"/>
      <c r="I34" s="2" t="s">
        <v>20</v>
      </c>
      <c r="J34" s="2">
        <v>122359.87</v>
      </c>
      <c r="K34" s="2">
        <v>1</v>
      </c>
      <c r="L34" s="2">
        <v>1</v>
      </c>
      <c r="M34" s="2" t="s">
        <v>47</v>
      </c>
      <c r="N34" s="2" t="s">
        <v>22</v>
      </c>
    </row>
    <row r="35" spans="1:14" x14ac:dyDescent="0.25">
      <c r="A35" s="3" t="s">
        <v>153</v>
      </c>
      <c r="B35" s="3" t="s">
        <v>154</v>
      </c>
      <c r="C35" s="3" t="s">
        <v>25</v>
      </c>
      <c r="D35" s="3" t="s">
        <v>40</v>
      </c>
      <c r="E35" s="3" t="s">
        <v>18</v>
      </c>
      <c r="F35" s="3">
        <v>39</v>
      </c>
      <c r="G35" s="4" t="s">
        <v>155</v>
      </c>
      <c r="H35" s="4" t="s">
        <v>156</v>
      </c>
      <c r="I35" s="3" t="s">
        <v>59</v>
      </c>
      <c r="J35" s="3">
        <v>946761.29</v>
      </c>
      <c r="K35" s="3">
        <v>4</v>
      </c>
      <c r="L35" s="3">
        <v>0.7</v>
      </c>
      <c r="M35" s="3" t="s">
        <v>42</v>
      </c>
      <c r="N35" s="3" t="s">
        <v>31</v>
      </c>
    </row>
    <row r="36" spans="1:14" x14ac:dyDescent="0.25">
      <c r="A36" s="2" t="s">
        <v>157</v>
      </c>
      <c r="B36" s="2" t="s">
        <v>158</v>
      </c>
      <c r="C36" s="2" t="s">
        <v>39</v>
      </c>
      <c r="D36" s="2" t="s">
        <v>74</v>
      </c>
      <c r="E36" s="4" t="s">
        <v>159</v>
      </c>
      <c r="F36" s="2">
        <v>40</v>
      </c>
      <c r="G36" s="2" t="s">
        <v>160</v>
      </c>
      <c r="H36" s="2" t="s">
        <v>161</v>
      </c>
      <c r="I36" s="2" t="s">
        <v>30</v>
      </c>
      <c r="J36" s="2">
        <v>101757.79</v>
      </c>
      <c r="K36" s="2">
        <v>3</v>
      </c>
      <c r="L36" s="2">
        <v>5.4</v>
      </c>
      <c r="M36" s="2" t="s">
        <v>36</v>
      </c>
      <c r="N36" s="2" t="s">
        <v>31</v>
      </c>
    </row>
    <row r="37" spans="1:14" x14ac:dyDescent="0.25">
      <c r="A37" s="3" t="s">
        <v>162</v>
      </c>
      <c r="B37" s="3" t="s">
        <v>163</v>
      </c>
      <c r="C37" s="3" t="s">
        <v>112</v>
      </c>
      <c r="D37" s="3" t="s">
        <v>74</v>
      </c>
      <c r="E37" s="3" t="s">
        <v>18</v>
      </c>
      <c r="F37" s="3">
        <v>57</v>
      </c>
      <c r="G37" s="3" t="s">
        <v>164</v>
      </c>
      <c r="H37" s="3" t="s">
        <v>165</v>
      </c>
      <c r="I37" s="3" t="s">
        <v>30</v>
      </c>
      <c r="J37" s="3">
        <v>1299874.53</v>
      </c>
      <c r="K37" s="4">
        <v>0</v>
      </c>
      <c r="L37" s="3">
        <v>14.2</v>
      </c>
      <c r="M37" s="4" t="s">
        <v>166</v>
      </c>
      <c r="N37" s="3" t="s">
        <v>31</v>
      </c>
    </row>
    <row r="38" spans="1:14" x14ac:dyDescent="0.25">
      <c r="A38" s="2" t="s">
        <v>167</v>
      </c>
      <c r="B38" s="2" t="s">
        <v>149</v>
      </c>
      <c r="C38" s="2" t="s">
        <v>45</v>
      </c>
      <c r="D38" s="2" t="s">
        <v>17</v>
      </c>
      <c r="E38" s="2" t="s">
        <v>27</v>
      </c>
      <c r="F38" s="2">
        <v>30</v>
      </c>
      <c r="G38" s="2" t="s">
        <v>168</v>
      </c>
      <c r="H38" s="2" t="s">
        <v>169</v>
      </c>
      <c r="I38" s="2" t="s">
        <v>30</v>
      </c>
      <c r="J38" s="2">
        <v>1385149.04</v>
      </c>
      <c r="K38" s="2">
        <v>2</v>
      </c>
      <c r="L38" s="2">
        <v>12.7</v>
      </c>
      <c r="M38" s="2" t="s">
        <v>71</v>
      </c>
      <c r="N38" s="2" t="s">
        <v>31</v>
      </c>
    </row>
    <row r="39" spans="1:14" x14ac:dyDescent="0.25">
      <c r="A39" s="3" t="s">
        <v>170</v>
      </c>
      <c r="B39" s="3" t="s">
        <v>171</v>
      </c>
      <c r="C39" s="3" t="s">
        <v>45</v>
      </c>
      <c r="D39" s="3" t="s">
        <v>87</v>
      </c>
      <c r="E39" s="3" t="s">
        <v>18</v>
      </c>
      <c r="F39" s="3">
        <v>23</v>
      </c>
      <c r="G39" s="3" t="s">
        <v>172</v>
      </c>
      <c r="H39" s="3"/>
      <c r="I39" s="3" t="s">
        <v>20</v>
      </c>
      <c r="J39" s="3">
        <v>118976.86</v>
      </c>
      <c r="K39" s="3">
        <v>3</v>
      </c>
      <c r="L39" s="3">
        <v>8.4</v>
      </c>
      <c r="M39" s="3" t="s">
        <v>71</v>
      </c>
      <c r="N39" s="3" t="s">
        <v>22</v>
      </c>
    </row>
    <row r="40" spans="1:14" x14ac:dyDescent="0.25">
      <c r="A40" s="2" t="s">
        <v>173</v>
      </c>
      <c r="B40" s="2" t="s">
        <v>131</v>
      </c>
      <c r="C40" s="2" t="s">
        <v>16</v>
      </c>
      <c r="D40" s="2" t="s">
        <v>74</v>
      </c>
      <c r="E40" s="2" t="s">
        <v>27</v>
      </c>
      <c r="F40" s="2">
        <v>27</v>
      </c>
      <c r="G40" s="2" t="s">
        <v>174</v>
      </c>
      <c r="H40" s="2"/>
      <c r="I40" s="2" t="s">
        <v>20</v>
      </c>
      <c r="J40" s="2">
        <v>1122493.98</v>
      </c>
      <c r="K40" s="2">
        <v>2</v>
      </c>
      <c r="L40" s="2">
        <v>15.4</v>
      </c>
      <c r="M40" s="2" t="s">
        <v>71</v>
      </c>
      <c r="N40" s="2" t="s">
        <v>22</v>
      </c>
    </row>
    <row r="41" spans="1:14" x14ac:dyDescent="0.25">
      <c r="A41" s="3" t="s">
        <v>175</v>
      </c>
      <c r="B41" s="3" t="s">
        <v>176</v>
      </c>
      <c r="C41" s="3" t="s">
        <v>45</v>
      </c>
      <c r="D41" s="3" t="s">
        <v>26</v>
      </c>
      <c r="E41" s="3" t="s">
        <v>18</v>
      </c>
      <c r="F41" s="3">
        <v>35</v>
      </c>
      <c r="G41" s="3" t="s">
        <v>177</v>
      </c>
      <c r="H41" s="3" t="s">
        <v>178</v>
      </c>
      <c r="I41" s="3" t="s">
        <v>30</v>
      </c>
      <c r="J41" s="3">
        <v>236697.58</v>
      </c>
      <c r="K41" s="3">
        <v>5</v>
      </c>
      <c r="L41" s="3">
        <v>3.1</v>
      </c>
      <c r="M41" s="3" t="s">
        <v>21</v>
      </c>
      <c r="N41" s="3" t="s">
        <v>31</v>
      </c>
    </row>
    <row r="42" spans="1:14" x14ac:dyDescent="0.25">
      <c r="A42" s="2" t="s">
        <v>179</v>
      </c>
      <c r="B42" s="2" t="s">
        <v>180</v>
      </c>
      <c r="C42" s="2" t="s">
        <v>65</v>
      </c>
      <c r="D42" s="2" t="s">
        <v>96</v>
      </c>
      <c r="E42" s="2" t="s">
        <v>27</v>
      </c>
      <c r="F42" s="2">
        <v>30</v>
      </c>
      <c r="G42" s="2" t="s">
        <v>181</v>
      </c>
      <c r="H42" s="2"/>
      <c r="I42" s="2" t="s">
        <v>20</v>
      </c>
      <c r="J42" s="2">
        <v>181814.04</v>
      </c>
      <c r="K42" s="2">
        <v>4</v>
      </c>
      <c r="L42" s="2">
        <v>15.5</v>
      </c>
      <c r="M42" s="2" t="s">
        <v>42</v>
      </c>
      <c r="N42" s="2" t="s">
        <v>22</v>
      </c>
    </row>
    <row r="43" spans="1:14" x14ac:dyDescent="0.25">
      <c r="A43" s="3" t="s">
        <v>182</v>
      </c>
      <c r="B43" s="3" t="s">
        <v>183</v>
      </c>
      <c r="C43" s="3" t="s">
        <v>65</v>
      </c>
      <c r="D43" s="3" t="s">
        <v>17</v>
      </c>
      <c r="E43" s="4" t="s">
        <v>56</v>
      </c>
      <c r="F43" s="3">
        <v>23</v>
      </c>
      <c r="G43" s="3" t="s">
        <v>184</v>
      </c>
      <c r="H43" s="3" t="s">
        <v>185</v>
      </c>
      <c r="I43" s="3" t="s">
        <v>30</v>
      </c>
      <c r="J43" s="3">
        <v>441628.89</v>
      </c>
      <c r="K43" s="3">
        <v>1</v>
      </c>
      <c r="L43" s="3">
        <v>19.899999999999999</v>
      </c>
      <c r="M43" s="3" t="s">
        <v>47</v>
      </c>
      <c r="N43" s="3" t="s">
        <v>31</v>
      </c>
    </row>
    <row r="44" spans="1:14" x14ac:dyDescent="0.25">
      <c r="A44" s="2" t="s">
        <v>186</v>
      </c>
      <c r="B44" s="2" t="s">
        <v>187</v>
      </c>
      <c r="C44" s="2" t="s">
        <v>50</v>
      </c>
      <c r="D44" s="2" t="s">
        <v>87</v>
      </c>
      <c r="E44" s="2" t="s">
        <v>27</v>
      </c>
      <c r="F44" s="2">
        <v>40</v>
      </c>
      <c r="G44" s="2" t="s">
        <v>188</v>
      </c>
      <c r="H44" s="2"/>
      <c r="I44" s="2" t="s">
        <v>20</v>
      </c>
      <c r="J44" s="2">
        <v>698048.35</v>
      </c>
      <c r="K44" s="2">
        <v>4</v>
      </c>
      <c r="L44" s="2">
        <v>6.3</v>
      </c>
      <c r="M44" s="2" t="s">
        <v>47</v>
      </c>
      <c r="N44" s="2" t="s">
        <v>22</v>
      </c>
    </row>
    <row r="45" spans="1:14" x14ac:dyDescent="0.25">
      <c r="A45" s="3" t="s">
        <v>189</v>
      </c>
      <c r="B45" s="3" t="s">
        <v>190</v>
      </c>
      <c r="C45" s="3" t="s">
        <v>112</v>
      </c>
      <c r="D45" s="3" t="s">
        <v>96</v>
      </c>
      <c r="E45" s="3" t="s">
        <v>27</v>
      </c>
      <c r="F45" s="3">
        <v>23</v>
      </c>
      <c r="G45" s="3" t="s">
        <v>191</v>
      </c>
      <c r="H45" s="3" t="s">
        <v>192</v>
      </c>
      <c r="I45" s="3" t="s">
        <v>30</v>
      </c>
      <c r="J45" s="3">
        <v>201579.78</v>
      </c>
      <c r="K45" s="3">
        <v>2</v>
      </c>
      <c r="L45" s="3">
        <v>18.7</v>
      </c>
      <c r="M45" s="3" t="s">
        <v>47</v>
      </c>
      <c r="N45" s="4"/>
    </row>
    <row r="46" spans="1:14" x14ac:dyDescent="0.25">
      <c r="A46" s="2" t="s">
        <v>193</v>
      </c>
      <c r="B46" s="2" t="s">
        <v>194</v>
      </c>
      <c r="C46" s="2" t="s">
        <v>39</v>
      </c>
      <c r="D46" s="2" t="s">
        <v>51</v>
      </c>
      <c r="E46" s="2" t="s">
        <v>27</v>
      </c>
      <c r="F46" s="2">
        <v>25</v>
      </c>
      <c r="G46" s="2" t="s">
        <v>195</v>
      </c>
      <c r="H46" s="2" t="s">
        <v>196</v>
      </c>
      <c r="I46" s="2" t="s">
        <v>30</v>
      </c>
      <c r="J46" s="4"/>
      <c r="K46" s="2">
        <v>3</v>
      </c>
      <c r="L46" s="2">
        <v>4.7</v>
      </c>
      <c r="M46" s="4" t="s">
        <v>42</v>
      </c>
      <c r="N46" s="2" t="s">
        <v>31</v>
      </c>
    </row>
    <row r="47" spans="1:14" x14ac:dyDescent="0.25">
      <c r="A47" s="3" t="s">
        <v>197</v>
      </c>
      <c r="B47" s="3" t="s">
        <v>198</v>
      </c>
      <c r="C47" s="3" t="s">
        <v>50</v>
      </c>
      <c r="D47" s="3" t="s">
        <v>80</v>
      </c>
      <c r="E47" s="3" t="s">
        <v>27</v>
      </c>
      <c r="F47" s="3">
        <v>24</v>
      </c>
      <c r="G47" s="3" t="s">
        <v>199</v>
      </c>
      <c r="H47" s="3" t="s">
        <v>200</v>
      </c>
      <c r="I47" s="3" t="s">
        <v>30</v>
      </c>
      <c r="J47" s="3">
        <v>967121.22</v>
      </c>
      <c r="K47" s="3">
        <v>3</v>
      </c>
      <c r="L47" s="3">
        <v>1.6</v>
      </c>
      <c r="M47" s="3" t="s">
        <v>47</v>
      </c>
      <c r="N47" s="3" t="s">
        <v>31</v>
      </c>
    </row>
    <row r="48" spans="1:14" x14ac:dyDescent="0.25">
      <c r="A48" s="2" t="s">
        <v>201</v>
      </c>
      <c r="B48" s="2" t="s">
        <v>202</v>
      </c>
      <c r="C48" s="2" t="s">
        <v>45</v>
      </c>
      <c r="D48" s="2" t="s">
        <v>96</v>
      </c>
      <c r="E48" s="2" t="s">
        <v>18</v>
      </c>
      <c r="F48" s="2">
        <v>37</v>
      </c>
      <c r="G48" s="2" t="s">
        <v>203</v>
      </c>
      <c r="H48" s="2"/>
      <c r="I48" s="2" t="s">
        <v>20</v>
      </c>
      <c r="J48" s="2">
        <v>1048085.81</v>
      </c>
      <c r="K48" s="2">
        <v>5</v>
      </c>
      <c r="L48" s="2">
        <v>6.8</v>
      </c>
      <c r="M48" s="2" t="s">
        <v>71</v>
      </c>
      <c r="N48" s="2" t="s">
        <v>22</v>
      </c>
    </row>
    <row r="49" spans="1:14" x14ac:dyDescent="0.25">
      <c r="A49" s="3" t="s">
        <v>204</v>
      </c>
      <c r="B49" s="3" t="s">
        <v>24</v>
      </c>
      <c r="C49" s="3" t="s">
        <v>45</v>
      </c>
      <c r="D49" s="3" t="s">
        <v>80</v>
      </c>
      <c r="E49" s="3" t="s">
        <v>27</v>
      </c>
      <c r="F49" s="3">
        <v>34</v>
      </c>
      <c r="G49" s="3" t="s">
        <v>205</v>
      </c>
      <c r="H49" s="3"/>
      <c r="I49" s="3" t="s">
        <v>20</v>
      </c>
      <c r="J49" s="3">
        <v>1274595.54</v>
      </c>
      <c r="K49" s="3">
        <v>1</v>
      </c>
      <c r="L49" s="3">
        <v>1.9</v>
      </c>
      <c r="M49" s="3" t="s">
        <v>71</v>
      </c>
      <c r="N49" s="3" t="s">
        <v>22</v>
      </c>
    </row>
    <row r="50" spans="1:14" x14ac:dyDescent="0.25">
      <c r="A50" s="2" t="s">
        <v>206</v>
      </c>
      <c r="B50" s="2" t="s">
        <v>207</v>
      </c>
      <c r="C50" s="2" t="s">
        <v>112</v>
      </c>
      <c r="D50" s="2" t="s">
        <v>51</v>
      </c>
      <c r="E50" s="4" t="s">
        <v>159</v>
      </c>
      <c r="F50" s="2">
        <v>36</v>
      </c>
      <c r="G50" s="2" t="s">
        <v>208</v>
      </c>
      <c r="H50" s="2"/>
      <c r="I50" s="2" t="s">
        <v>20</v>
      </c>
      <c r="J50" s="2">
        <v>332588.59999999998</v>
      </c>
      <c r="K50" s="2">
        <v>2</v>
      </c>
      <c r="L50" s="2">
        <v>15.5</v>
      </c>
      <c r="M50" s="2" t="s">
        <v>42</v>
      </c>
      <c r="N50" s="2" t="s">
        <v>22</v>
      </c>
    </row>
    <row r="51" spans="1:14" x14ac:dyDescent="0.25">
      <c r="A51" s="3" t="s">
        <v>209</v>
      </c>
      <c r="B51" s="3" t="s">
        <v>210</v>
      </c>
      <c r="C51" s="3" t="s">
        <v>65</v>
      </c>
      <c r="D51" s="3" t="s">
        <v>80</v>
      </c>
      <c r="E51" s="3" t="s">
        <v>18</v>
      </c>
      <c r="F51" s="3">
        <v>49</v>
      </c>
      <c r="G51" s="3" t="s">
        <v>211</v>
      </c>
      <c r="H51" s="3" t="s">
        <v>212</v>
      </c>
      <c r="I51" s="3" t="s">
        <v>59</v>
      </c>
      <c r="J51" s="3">
        <v>1202518.95</v>
      </c>
      <c r="K51" s="3">
        <v>5</v>
      </c>
      <c r="L51" s="3">
        <v>2</v>
      </c>
      <c r="M51" s="3" t="s">
        <v>21</v>
      </c>
      <c r="N51" s="3" t="s">
        <v>31</v>
      </c>
    </row>
    <row r="52" spans="1:14" x14ac:dyDescent="0.25">
      <c r="A52" s="2" t="s">
        <v>213</v>
      </c>
      <c r="B52" s="2" t="s">
        <v>214</v>
      </c>
      <c r="C52" s="2" t="s">
        <v>65</v>
      </c>
      <c r="D52" s="2" t="s">
        <v>17</v>
      </c>
      <c r="E52" s="2" t="s">
        <v>18</v>
      </c>
      <c r="F52" s="2">
        <v>30</v>
      </c>
      <c r="G52" s="4" t="s">
        <v>215</v>
      </c>
      <c r="H52" s="4"/>
      <c r="I52" s="2" t="s">
        <v>20</v>
      </c>
      <c r="J52" s="2">
        <v>300519.62</v>
      </c>
      <c r="K52" s="2">
        <v>1</v>
      </c>
      <c r="L52" s="2">
        <v>13.8</v>
      </c>
      <c r="M52" s="2" t="s">
        <v>36</v>
      </c>
      <c r="N52" s="2" t="s">
        <v>22</v>
      </c>
    </row>
    <row r="53" spans="1:14" x14ac:dyDescent="0.25">
      <c r="A53" s="3" t="s">
        <v>216</v>
      </c>
      <c r="B53" s="3" t="s">
        <v>217</v>
      </c>
      <c r="C53" s="3" t="s">
        <v>50</v>
      </c>
      <c r="D53" s="3" t="s">
        <v>26</v>
      </c>
      <c r="E53" s="3" t="s">
        <v>27</v>
      </c>
      <c r="F53" s="3">
        <v>52</v>
      </c>
      <c r="G53" s="3" t="s">
        <v>218</v>
      </c>
      <c r="H53" s="3" t="s">
        <v>219</v>
      </c>
      <c r="I53" s="3" t="s">
        <v>59</v>
      </c>
      <c r="J53" s="3">
        <v>134724.98000000001</v>
      </c>
      <c r="K53" s="3">
        <v>3</v>
      </c>
      <c r="L53" s="3">
        <v>3.2</v>
      </c>
      <c r="M53" s="3" t="s">
        <v>42</v>
      </c>
      <c r="N53" s="3" t="s">
        <v>31</v>
      </c>
    </row>
    <row r="54" spans="1:14" x14ac:dyDescent="0.25">
      <c r="A54" s="2" t="s">
        <v>220</v>
      </c>
      <c r="B54" s="2" t="s">
        <v>221</v>
      </c>
      <c r="C54" s="2" t="s">
        <v>39</v>
      </c>
      <c r="D54" s="2" t="s">
        <v>74</v>
      </c>
      <c r="E54" s="2" t="s">
        <v>27</v>
      </c>
      <c r="F54" s="2">
        <v>29</v>
      </c>
      <c r="G54" s="2" t="s">
        <v>222</v>
      </c>
      <c r="H54" s="2"/>
      <c r="I54" s="2" t="s">
        <v>20</v>
      </c>
      <c r="J54" s="2">
        <v>212867.47</v>
      </c>
      <c r="K54" s="2">
        <v>4</v>
      </c>
      <c r="L54" s="2">
        <v>18.399999999999999</v>
      </c>
      <c r="M54" s="2" t="s">
        <v>21</v>
      </c>
      <c r="N54" s="2" t="s">
        <v>22</v>
      </c>
    </row>
    <row r="55" spans="1:14" x14ac:dyDescent="0.25">
      <c r="A55" s="3" t="s">
        <v>223</v>
      </c>
      <c r="B55" s="3" t="s">
        <v>224</v>
      </c>
      <c r="C55" s="3" t="s">
        <v>65</v>
      </c>
      <c r="D55" s="3" t="s">
        <v>87</v>
      </c>
      <c r="E55" s="3" t="s">
        <v>18</v>
      </c>
      <c r="F55" s="3">
        <v>52</v>
      </c>
      <c r="G55" s="3" t="s">
        <v>225</v>
      </c>
      <c r="H55" s="3"/>
      <c r="I55" s="3" t="s">
        <v>20</v>
      </c>
      <c r="J55" s="3">
        <v>443985.51</v>
      </c>
      <c r="K55" s="4">
        <v>10</v>
      </c>
      <c r="L55" s="3">
        <v>18.8</v>
      </c>
      <c r="M55" s="4" t="s">
        <v>105</v>
      </c>
      <c r="N55" s="3" t="s">
        <v>22</v>
      </c>
    </row>
    <row r="56" spans="1:14" x14ac:dyDescent="0.25">
      <c r="A56" s="2" t="s">
        <v>226</v>
      </c>
      <c r="B56" s="2" t="s">
        <v>227</v>
      </c>
      <c r="C56" s="2" t="s">
        <v>79</v>
      </c>
      <c r="D56" s="2" t="s">
        <v>40</v>
      </c>
      <c r="E56" s="2" t="s">
        <v>18</v>
      </c>
      <c r="F56" s="2">
        <v>31</v>
      </c>
      <c r="G56" s="2" t="s">
        <v>228</v>
      </c>
      <c r="H56" s="2"/>
      <c r="I56" s="2" t="s">
        <v>20</v>
      </c>
      <c r="J56" s="2">
        <v>230025.85</v>
      </c>
      <c r="K56" s="2">
        <v>1</v>
      </c>
      <c r="L56" s="2">
        <v>6.4</v>
      </c>
      <c r="M56" s="2" t="s">
        <v>71</v>
      </c>
      <c r="N56" s="2" t="s">
        <v>22</v>
      </c>
    </row>
    <row r="57" spans="1:14" x14ac:dyDescent="0.25">
      <c r="A57" s="3" t="s">
        <v>229</v>
      </c>
      <c r="B57" s="3" t="s">
        <v>230</v>
      </c>
      <c r="C57" s="3" t="s">
        <v>16</v>
      </c>
      <c r="D57" s="3" t="s">
        <v>17</v>
      </c>
      <c r="E57" s="4" t="s">
        <v>159</v>
      </c>
      <c r="F57" s="3">
        <v>50</v>
      </c>
      <c r="G57" s="3" t="s">
        <v>231</v>
      </c>
      <c r="H57" s="3"/>
      <c r="I57" s="3" t="s">
        <v>20</v>
      </c>
      <c r="J57" s="3">
        <v>233132.05</v>
      </c>
      <c r="K57" s="3">
        <v>1</v>
      </c>
      <c r="L57" s="3">
        <v>14.9</v>
      </c>
      <c r="M57" s="3" t="s">
        <v>36</v>
      </c>
      <c r="N57" s="3" t="s">
        <v>22</v>
      </c>
    </row>
    <row r="58" spans="1:14" x14ac:dyDescent="0.25">
      <c r="A58" s="2" t="s">
        <v>232</v>
      </c>
      <c r="B58" s="2" t="s">
        <v>64</v>
      </c>
      <c r="C58" s="2" t="s">
        <v>65</v>
      </c>
      <c r="D58" s="2" t="s">
        <v>40</v>
      </c>
      <c r="E58" s="2" t="s">
        <v>18</v>
      </c>
      <c r="F58" s="2">
        <v>58</v>
      </c>
      <c r="G58" s="2" t="s">
        <v>34</v>
      </c>
      <c r="H58" s="2" t="s">
        <v>178</v>
      </c>
      <c r="I58" s="2" t="s">
        <v>59</v>
      </c>
      <c r="J58" s="2">
        <v>328330.82</v>
      </c>
      <c r="K58" s="2">
        <v>5</v>
      </c>
      <c r="L58" s="2">
        <v>6</v>
      </c>
      <c r="M58" s="2" t="s">
        <v>71</v>
      </c>
      <c r="N58" s="2" t="s">
        <v>31</v>
      </c>
    </row>
    <row r="59" spans="1:14" x14ac:dyDescent="0.25">
      <c r="A59" s="3" t="s">
        <v>233</v>
      </c>
      <c r="B59" s="3" t="s">
        <v>234</v>
      </c>
      <c r="C59" s="3" t="s">
        <v>112</v>
      </c>
      <c r="D59" s="3" t="s">
        <v>51</v>
      </c>
      <c r="E59" s="3" t="s">
        <v>18</v>
      </c>
      <c r="F59" s="3">
        <v>28</v>
      </c>
      <c r="G59" s="3" t="s">
        <v>235</v>
      </c>
      <c r="H59" s="3" t="s">
        <v>236</v>
      </c>
      <c r="I59" s="3" t="s">
        <v>59</v>
      </c>
      <c r="J59" s="3">
        <v>1184149.05</v>
      </c>
      <c r="K59" s="3">
        <v>1</v>
      </c>
      <c r="L59" s="3">
        <v>18.7</v>
      </c>
      <c r="M59" s="3" t="s">
        <v>42</v>
      </c>
      <c r="N59" s="3" t="s">
        <v>31</v>
      </c>
    </row>
    <row r="60" spans="1:14" x14ac:dyDescent="0.25">
      <c r="A60" s="2" t="s">
        <v>237</v>
      </c>
      <c r="B60" s="2" t="s">
        <v>238</v>
      </c>
      <c r="C60" s="2" t="s">
        <v>112</v>
      </c>
      <c r="D60" s="2" t="s">
        <v>87</v>
      </c>
      <c r="E60" s="2" t="s">
        <v>27</v>
      </c>
      <c r="F60" s="2">
        <v>42</v>
      </c>
      <c r="G60" s="2" t="s">
        <v>239</v>
      </c>
      <c r="H60" s="2"/>
      <c r="I60" s="2" t="s">
        <v>20</v>
      </c>
      <c r="J60" s="2">
        <v>961567.63</v>
      </c>
      <c r="K60" s="2">
        <v>1</v>
      </c>
      <c r="L60" s="2">
        <v>0.9</v>
      </c>
      <c r="M60" s="2" t="s">
        <v>21</v>
      </c>
      <c r="N60" s="2" t="s">
        <v>22</v>
      </c>
    </row>
    <row r="61" spans="1:14" x14ac:dyDescent="0.25">
      <c r="A61" s="3" t="s">
        <v>240</v>
      </c>
      <c r="B61" s="3" t="s">
        <v>210</v>
      </c>
      <c r="C61" s="3" t="s">
        <v>50</v>
      </c>
      <c r="D61" s="3" t="s">
        <v>40</v>
      </c>
      <c r="E61" s="3" t="s">
        <v>18</v>
      </c>
      <c r="F61" s="3">
        <v>46</v>
      </c>
      <c r="G61" s="3" t="s">
        <v>241</v>
      </c>
      <c r="H61" s="3"/>
      <c r="I61" s="3" t="s">
        <v>20</v>
      </c>
      <c r="J61" s="4"/>
      <c r="K61" s="3">
        <v>2</v>
      </c>
      <c r="L61" s="4">
        <v>-4.5999999999999996</v>
      </c>
      <c r="M61" s="3" t="s">
        <v>71</v>
      </c>
      <c r="N61" s="3" t="s">
        <v>22</v>
      </c>
    </row>
    <row r="62" spans="1:14" x14ac:dyDescent="0.25">
      <c r="A62" s="2" t="s">
        <v>242</v>
      </c>
      <c r="B62" s="2" t="s">
        <v>243</v>
      </c>
      <c r="C62" s="2" t="s">
        <v>79</v>
      </c>
      <c r="D62" s="2" t="s">
        <v>74</v>
      </c>
      <c r="E62" s="2" t="s">
        <v>18</v>
      </c>
      <c r="F62" s="2">
        <v>51</v>
      </c>
      <c r="G62" s="2" t="s">
        <v>244</v>
      </c>
      <c r="H62" s="2"/>
      <c r="I62" s="2" t="s">
        <v>20</v>
      </c>
      <c r="J62" s="2">
        <v>1018907.4</v>
      </c>
      <c r="K62" s="2">
        <v>2</v>
      </c>
      <c r="L62" s="2">
        <v>9.6999999999999993</v>
      </c>
      <c r="M62" s="2" t="s">
        <v>71</v>
      </c>
      <c r="N62" s="2" t="s">
        <v>22</v>
      </c>
    </row>
    <row r="63" spans="1:14" x14ac:dyDescent="0.25">
      <c r="A63" s="3" t="s">
        <v>245</v>
      </c>
      <c r="B63" s="3" t="s">
        <v>246</v>
      </c>
      <c r="C63" s="3" t="s">
        <v>112</v>
      </c>
      <c r="D63" s="3" t="s">
        <v>96</v>
      </c>
      <c r="E63" s="3" t="s">
        <v>27</v>
      </c>
      <c r="F63" s="3">
        <v>30</v>
      </c>
      <c r="G63" s="3" t="s">
        <v>247</v>
      </c>
      <c r="H63" s="3"/>
      <c r="I63" s="3" t="s">
        <v>20</v>
      </c>
      <c r="J63" s="3">
        <v>780556.51</v>
      </c>
      <c r="K63" s="3">
        <v>5</v>
      </c>
      <c r="L63" s="3">
        <v>8.8000000000000007</v>
      </c>
      <c r="M63" s="3" t="s">
        <v>21</v>
      </c>
      <c r="N63" s="3" t="s">
        <v>22</v>
      </c>
    </row>
    <row r="64" spans="1:14" x14ac:dyDescent="0.25">
      <c r="A64" s="2" t="s">
        <v>248</v>
      </c>
      <c r="B64" s="2" t="s">
        <v>249</v>
      </c>
      <c r="C64" s="2" t="s">
        <v>45</v>
      </c>
      <c r="D64" s="2" t="s">
        <v>80</v>
      </c>
      <c r="E64" s="4" t="s">
        <v>159</v>
      </c>
      <c r="F64" s="2">
        <v>30</v>
      </c>
      <c r="G64" s="2" t="s">
        <v>250</v>
      </c>
      <c r="H64" s="2"/>
      <c r="I64" s="2" t="s">
        <v>20</v>
      </c>
      <c r="J64" s="2">
        <v>408153.91</v>
      </c>
      <c r="K64" s="2">
        <v>4</v>
      </c>
      <c r="L64" s="2">
        <v>3.5</v>
      </c>
      <c r="M64" s="4" t="s">
        <v>42</v>
      </c>
      <c r="N64" s="2" t="s">
        <v>22</v>
      </c>
    </row>
    <row r="65" spans="1:14" x14ac:dyDescent="0.25">
      <c r="A65" s="3" t="s">
        <v>251</v>
      </c>
      <c r="B65" s="3" t="s">
        <v>252</v>
      </c>
      <c r="C65" s="3" t="s">
        <v>39</v>
      </c>
      <c r="D65" s="3" t="s">
        <v>96</v>
      </c>
      <c r="E65" s="3" t="s">
        <v>27</v>
      </c>
      <c r="F65" s="3">
        <v>36</v>
      </c>
      <c r="G65" s="3" t="s">
        <v>253</v>
      </c>
      <c r="H65" s="3"/>
      <c r="I65" s="3" t="s">
        <v>20</v>
      </c>
      <c r="J65" s="3">
        <v>687552.88</v>
      </c>
      <c r="K65" s="3">
        <v>5</v>
      </c>
      <c r="L65" s="3">
        <v>12.4</v>
      </c>
      <c r="M65" s="3" t="s">
        <v>71</v>
      </c>
      <c r="N65" s="3" t="s">
        <v>22</v>
      </c>
    </row>
    <row r="66" spans="1:14" x14ac:dyDescent="0.25">
      <c r="A66" s="2" t="s">
        <v>254</v>
      </c>
      <c r="B66" s="2" t="s">
        <v>255</v>
      </c>
      <c r="C66" s="2" t="s">
        <v>65</v>
      </c>
      <c r="D66" s="2" t="s">
        <v>74</v>
      </c>
      <c r="E66" s="2" t="s">
        <v>18</v>
      </c>
      <c r="F66" s="2">
        <v>43</v>
      </c>
      <c r="G66" s="2" t="s">
        <v>256</v>
      </c>
      <c r="H66" s="2" t="s">
        <v>257</v>
      </c>
      <c r="I66" s="2" t="s">
        <v>30</v>
      </c>
      <c r="J66" s="2">
        <v>630800.52</v>
      </c>
      <c r="K66" s="2">
        <v>2</v>
      </c>
      <c r="L66" s="2">
        <v>12.4</v>
      </c>
      <c r="M66" s="2" t="s">
        <v>21</v>
      </c>
      <c r="N66" s="2" t="s">
        <v>31</v>
      </c>
    </row>
    <row r="67" spans="1:14" x14ac:dyDescent="0.25">
      <c r="A67" s="3" t="s">
        <v>258</v>
      </c>
      <c r="B67" s="3" t="s">
        <v>259</v>
      </c>
      <c r="C67" s="3" t="s">
        <v>79</v>
      </c>
      <c r="D67" s="3" t="s">
        <v>80</v>
      </c>
      <c r="E67" s="3" t="s">
        <v>18</v>
      </c>
      <c r="F67" s="3">
        <v>43</v>
      </c>
      <c r="G67" s="3" t="s">
        <v>260</v>
      </c>
      <c r="H67" s="3"/>
      <c r="I67" s="3" t="s">
        <v>20</v>
      </c>
      <c r="J67" s="3">
        <v>1395490.7</v>
      </c>
      <c r="K67" s="3">
        <v>4</v>
      </c>
      <c r="L67" s="3">
        <v>18.8</v>
      </c>
      <c r="M67" s="3" t="s">
        <v>42</v>
      </c>
      <c r="N67" s="4"/>
    </row>
    <row r="68" spans="1:14" x14ac:dyDescent="0.25">
      <c r="A68" s="2" t="s">
        <v>261</v>
      </c>
      <c r="B68" s="2" t="s">
        <v>262</v>
      </c>
      <c r="C68" s="2" t="s">
        <v>16</v>
      </c>
      <c r="D68" s="2" t="s">
        <v>40</v>
      </c>
      <c r="E68" s="2" t="s">
        <v>27</v>
      </c>
      <c r="F68" s="2">
        <v>26</v>
      </c>
      <c r="G68" s="2" t="s">
        <v>263</v>
      </c>
      <c r="H68" s="2"/>
      <c r="I68" s="2" t="s">
        <v>20</v>
      </c>
      <c r="J68" s="2">
        <v>1441418.56</v>
      </c>
      <c r="K68" s="2">
        <v>2</v>
      </c>
      <c r="L68" s="2">
        <v>13.8</v>
      </c>
      <c r="M68" s="2" t="s">
        <v>21</v>
      </c>
      <c r="N68" s="2" t="s">
        <v>22</v>
      </c>
    </row>
    <row r="69" spans="1:14" x14ac:dyDescent="0.25">
      <c r="A69" s="3" t="s">
        <v>264</v>
      </c>
      <c r="B69" s="3" t="s">
        <v>265</v>
      </c>
      <c r="C69" s="3" t="s">
        <v>16</v>
      </c>
      <c r="D69" s="3" t="s">
        <v>74</v>
      </c>
      <c r="E69" s="3" t="s">
        <v>18</v>
      </c>
      <c r="F69" s="3">
        <v>39</v>
      </c>
      <c r="G69" s="4" t="s">
        <v>266</v>
      </c>
      <c r="H69" s="4"/>
      <c r="I69" s="3" t="s">
        <v>20</v>
      </c>
      <c r="J69" s="3">
        <v>672132.95</v>
      </c>
      <c r="K69" s="3">
        <v>1</v>
      </c>
      <c r="L69" s="3">
        <v>8.4</v>
      </c>
      <c r="M69" s="3" t="s">
        <v>36</v>
      </c>
      <c r="N69" s="3" t="s">
        <v>22</v>
      </c>
    </row>
    <row r="70" spans="1:14" x14ac:dyDescent="0.25">
      <c r="A70" s="2" t="s">
        <v>267</v>
      </c>
      <c r="B70" s="2" t="s">
        <v>268</v>
      </c>
      <c r="C70" s="2" t="s">
        <v>112</v>
      </c>
      <c r="D70" s="2" t="s">
        <v>87</v>
      </c>
      <c r="E70" s="2" t="s">
        <v>27</v>
      </c>
      <c r="F70" s="2">
        <v>44</v>
      </c>
      <c r="G70" s="2" t="s">
        <v>269</v>
      </c>
      <c r="H70" s="2" t="s">
        <v>270</v>
      </c>
      <c r="I70" s="2" t="s">
        <v>59</v>
      </c>
      <c r="J70" s="2">
        <v>940479.45</v>
      </c>
      <c r="K70" s="2">
        <v>3</v>
      </c>
      <c r="L70" s="2">
        <v>18.899999999999999</v>
      </c>
      <c r="M70" s="2" t="s">
        <v>42</v>
      </c>
      <c r="N70" s="2" t="s">
        <v>31</v>
      </c>
    </row>
    <row r="71" spans="1:14" x14ac:dyDescent="0.25">
      <c r="A71" s="3" t="s">
        <v>271</v>
      </c>
      <c r="B71" s="3" t="s">
        <v>149</v>
      </c>
      <c r="C71" s="3" t="s">
        <v>79</v>
      </c>
      <c r="D71" s="3" t="s">
        <v>87</v>
      </c>
      <c r="E71" s="4" t="s">
        <v>159</v>
      </c>
      <c r="F71" s="3">
        <v>48</v>
      </c>
      <c r="G71" s="3" t="s">
        <v>272</v>
      </c>
      <c r="H71" s="3" t="s">
        <v>273</v>
      </c>
      <c r="I71" s="3" t="s">
        <v>30</v>
      </c>
      <c r="J71" s="3">
        <v>1461221.2</v>
      </c>
      <c r="K71" s="3">
        <v>3</v>
      </c>
      <c r="L71" s="3">
        <v>11</v>
      </c>
      <c r="M71" s="3" t="s">
        <v>47</v>
      </c>
      <c r="N71" s="3" t="s">
        <v>31</v>
      </c>
    </row>
    <row r="72" spans="1:14" x14ac:dyDescent="0.25">
      <c r="A72" s="2" t="s">
        <v>274</v>
      </c>
      <c r="B72" s="2" t="s">
        <v>275</v>
      </c>
      <c r="C72" s="2" t="s">
        <v>16</v>
      </c>
      <c r="D72" s="2" t="s">
        <v>26</v>
      </c>
      <c r="E72" s="2" t="s">
        <v>18</v>
      </c>
      <c r="F72" s="2">
        <v>35</v>
      </c>
      <c r="G72" s="2" t="s">
        <v>276</v>
      </c>
      <c r="H72" s="2" t="s">
        <v>195</v>
      </c>
      <c r="I72" s="2" t="s">
        <v>30</v>
      </c>
      <c r="J72" s="2">
        <v>684195.57</v>
      </c>
      <c r="K72" s="2">
        <v>5</v>
      </c>
      <c r="L72" s="2">
        <v>18.100000000000001</v>
      </c>
      <c r="M72" s="2" t="s">
        <v>71</v>
      </c>
      <c r="N72" s="2" t="s">
        <v>31</v>
      </c>
    </row>
    <row r="73" spans="1:14" x14ac:dyDescent="0.25">
      <c r="A73" s="3" t="s">
        <v>277</v>
      </c>
      <c r="B73" s="3" t="s">
        <v>278</v>
      </c>
      <c r="C73" s="3" t="s">
        <v>39</v>
      </c>
      <c r="D73" s="3" t="s">
        <v>96</v>
      </c>
      <c r="E73" s="3" t="s">
        <v>27</v>
      </c>
      <c r="F73" s="3">
        <v>43</v>
      </c>
      <c r="G73" s="3" t="s">
        <v>279</v>
      </c>
      <c r="H73" s="3" t="s">
        <v>280</v>
      </c>
      <c r="I73" s="3" t="s">
        <v>59</v>
      </c>
      <c r="J73" s="3">
        <v>479788.22</v>
      </c>
      <c r="K73" s="4">
        <v>0</v>
      </c>
      <c r="L73" s="3">
        <v>2.7</v>
      </c>
      <c r="M73" s="4" t="s">
        <v>67</v>
      </c>
      <c r="N73" s="3" t="s">
        <v>31</v>
      </c>
    </row>
    <row r="74" spans="1:14" x14ac:dyDescent="0.25">
      <c r="A74" s="2" t="s">
        <v>281</v>
      </c>
      <c r="B74" s="2" t="s">
        <v>127</v>
      </c>
      <c r="C74" s="2" t="s">
        <v>45</v>
      </c>
      <c r="D74" s="2" t="s">
        <v>40</v>
      </c>
      <c r="E74" s="2" t="s">
        <v>18</v>
      </c>
      <c r="F74" s="2">
        <v>56</v>
      </c>
      <c r="G74" s="2" t="s">
        <v>282</v>
      </c>
      <c r="H74" s="2" t="s">
        <v>283</v>
      </c>
      <c r="I74" s="2" t="s">
        <v>30</v>
      </c>
      <c r="J74" s="2">
        <v>934800.46</v>
      </c>
      <c r="K74" s="2">
        <v>1</v>
      </c>
      <c r="L74" s="2">
        <v>12.4</v>
      </c>
      <c r="M74" s="2" t="s">
        <v>21</v>
      </c>
      <c r="N74" s="2" t="s">
        <v>31</v>
      </c>
    </row>
    <row r="75" spans="1:14" x14ac:dyDescent="0.25">
      <c r="A75" s="3" t="s">
        <v>284</v>
      </c>
      <c r="B75" s="3" t="s">
        <v>285</v>
      </c>
      <c r="C75" s="3" t="s">
        <v>50</v>
      </c>
      <c r="D75" s="3" t="s">
        <v>26</v>
      </c>
      <c r="E75" s="3" t="s">
        <v>18</v>
      </c>
      <c r="F75" s="3">
        <v>58</v>
      </c>
      <c r="G75" s="3" t="s">
        <v>286</v>
      </c>
      <c r="H75" s="3"/>
      <c r="I75" s="3" t="s">
        <v>20</v>
      </c>
      <c r="J75" s="3">
        <v>1107539.26</v>
      </c>
      <c r="K75" s="3">
        <v>1</v>
      </c>
      <c r="L75" s="3">
        <v>14</v>
      </c>
      <c r="M75" s="3" t="s">
        <v>47</v>
      </c>
      <c r="N75" s="3" t="s">
        <v>22</v>
      </c>
    </row>
    <row r="76" spans="1:14" x14ac:dyDescent="0.25">
      <c r="A76" s="2" t="s">
        <v>287</v>
      </c>
      <c r="B76" s="2" t="s">
        <v>285</v>
      </c>
      <c r="C76" s="2" t="s">
        <v>112</v>
      </c>
      <c r="D76" s="2" t="s">
        <v>80</v>
      </c>
      <c r="E76" s="2" t="s">
        <v>27</v>
      </c>
      <c r="F76" s="2">
        <v>38</v>
      </c>
      <c r="G76" s="2" t="s">
        <v>288</v>
      </c>
      <c r="H76" s="2" t="s">
        <v>289</v>
      </c>
      <c r="I76" s="2" t="s">
        <v>59</v>
      </c>
      <c r="J76" s="4"/>
      <c r="K76" s="2">
        <v>2</v>
      </c>
      <c r="L76" s="2">
        <v>16.600000000000001</v>
      </c>
      <c r="M76" s="2" t="s">
        <v>71</v>
      </c>
      <c r="N76" s="2" t="s">
        <v>31</v>
      </c>
    </row>
    <row r="77" spans="1:14" x14ac:dyDescent="0.25">
      <c r="A77" s="3" t="s">
        <v>290</v>
      </c>
      <c r="B77" s="3" t="s">
        <v>291</v>
      </c>
      <c r="C77" s="3" t="s">
        <v>65</v>
      </c>
      <c r="D77" s="3" t="s">
        <v>17</v>
      </c>
      <c r="E77" s="3" t="s">
        <v>18</v>
      </c>
      <c r="F77" s="3">
        <v>33</v>
      </c>
      <c r="G77" s="3" t="s">
        <v>292</v>
      </c>
      <c r="H77" s="3"/>
      <c r="I77" s="3" t="s">
        <v>20</v>
      </c>
      <c r="J77" s="3">
        <v>159893.42000000001</v>
      </c>
      <c r="K77" s="3">
        <v>2</v>
      </c>
      <c r="L77" s="3">
        <v>13.4</v>
      </c>
      <c r="M77" s="3" t="s">
        <v>36</v>
      </c>
      <c r="N77" s="3" t="s">
        <v>22</v>
      </c>
    </row>
    <row r="78" spans="1:14" x14ac:dyDescent="0.25">
      <c r="A78" s="2" t="s">
        <v>293</v>
      </c>
      <c r="B78" s="2" t="s">
        <v>294</v>
      </c>
      <c r="C78" s="2" t="s">
        <v>112</v>
      </c>
      <c r="D78" s="2" t="s">
        <v>87</v>
      </c>
      <c r="E78" s="4" t="s">
        <v>56</v>
      </c>
      <c r="F78" s="2">
        <v>40</v>
      </c>
      <c r="G78" s="2" t="s">
        <v>295</v>
      </c>
      <c r="H78" s="2"/>
      <c r="I78" s="2" t="s">
        <v>20</v>
      </c>
      <c r="J78" s="2">
        <v>1158196.58</v>
      </c>
      <c r="K78" s="2">
        <v>1</v>
      </c>
      <c r="L78" s="2">
        <v>5.9</v>
      </c>
      <c r="M78" s="2" t="s">
        <v>47</v>
      </c>
      <c r="N78" s="2" t="s">
        <v>22</v>
      </c>
    </row>
    <row r="79" spans="1:14" x14ac:dyDescent="0.25">
      <c r="A79" s="3" t="s">
        <v>296</v>
      </c>
      <c r="B79" s="3" t="s">
        <v>297</v>
      </c>
      <c r="C79" s="3" t="s">
        <v>112</v>
      </c>
      <c r="D79" s="3" t="s">
        <v>80</v>
      </c>
      <c r="E79" s="3" t="s">
        <v>27</v>
      </c>
      <c r="F79" s="3">
        <v>49</v>
      </c>
      <c r="G79" s="3" t="s">
        <v>298</v>
      </c>
      <c r="H79" s="3" t="s">
        <v>299</v>
      </c>
      <c r="I79" s="3" t="s">
        <v>59</v>
      </c>
      <c r="J79" s="3">
        <v>1065867.54</v>
      </c>
      <c r="K79" s="3">
        <v>1</v>
      </c>
      <c r="L79" s="3">
        <v>19</v>
      </c>
      <c r="M79" s="3" t="s">
        <v>21</v>
      </c>
      <c r="N79" s="3" t="s">
        <v>31</v>
      </c>
    </row>
    <row r="80" spans="1:14" x14ac:dyDescent="0.25">
      <c r="A80" s="2" t="s">
        <v>300</v>
      </c>
      <c r="B80" s="2" t="s">
        <v>301</v>
      </c>
      <c r="C80" s="2" t="s">
        <v>79</v>
      </c>
      <c r="D80" s="2" t="s">
        <v>26</v>
      </c>
      <c r="E80" s="2" t="s">
        <v>27</v>
      </c>
      <c r="F80" s="2">
        <v>23</v>
      </c>
      <c r="G80" s="2" t="s">
        <v>302</v>
      </c>
      <c r="H80" s="2" t="s">
        <v>303</v>
      </c>
      <c r="I80" s="2" t="s">
        <v>30</v>
      </c>
      <c r="J80" s="2">
        <v>821058.13</v>
      </c>
      <c r="K80" s="2">
        <v>1</v>
      </c>
      <c r="L80" s="2">
        <v>3.2</v>
      </c>
      <c r="M80" s="2" t="s">
        <v>36</v>
      </c>
      <c r="N80" s="2" t="s">
        <v>31</v>
      </c>
    </row>
    <row r="81" spans="1:14" x14ac:dyDescent="0.25">
      <c r="A81" s="4" t="s">
        <v>304</v>
      </c>
      <c r="B81" s="3" t="s">
        <v>305</v>
      </c>
      <c r="C81" s="3" t="s">
        <v>65</v>
      </c>
      <c r="D81" s="3" t="s">
        <v>26</v>
      </c>
      <c r="E81" s="3" t="s">
        <v>27</v>
      </c>
      <c r="F81" s="3">
        <v>34</v>
      </c>
      <c r="G81" s="3" t="s">
        <v>306</v>
      </c>
      <c r="H81" s="3" t="s">
        <v>307</v>
      </c>
      <c r="I81" s="3" t="s">
        <v>30</v>
      </c>
      <c r="J81" s="3">
        <v>938504.62</v>
      </c>
      <c r="K81" s="3">
        <v>1</v>
      </c>
      <c r="L81" s="3">
        <v>16.399999999999999</v>
      </c>
      <c r="M81" s="3" t="s">
        <v>47</v>
      </c>
      <c r="N81" s="3" t="s">
        <v>31</v>
      </c>
    </row>
    <row r="82" spans="1:14" x14ac:dyDescent="0.25">
      <c r="A82" s="4" t="s">
        <v>304</v>
      </c>
      <c r="B82" s="2" t="s">
        <v>308</v>
      </c>
      <c r="C82" s="2" t="s">
        <v>39</v>
      </c>
      <c r="D82" s="2" t="s">
        <v>51</v>
      </c>
      <c r="E82" s="2" t="s">
        <v>27</v>
      </c>
      <c r="F82" s="2">
        <v>27</v>
      </c>
      <c r="G82" s="2" t="s">
        <v>309</v>
      </c>
      <c r="H82" s="2"/>
      <c r="I82" s="2" t="s">
        <v>20</v>
      </c>
      <c r="J82" s="2">
        <v>264131.53999999998</v>
      </c>
      <c r="K82" s="2">
        <v>1</v>
      </c>
      <c r="L82" s="2">
        <v>1.7</v>
      </c>
      <c r="M82" s="4" t="s">
        <v>310</v>
      </c>
      <c r="N82" s="2" t="s">
        <v>22</v>
      </c>
    </row>
    <row r="83" spans="1:14" x14ac:dyDescent="0.25">
      <c r="A83" s="3" t="s">
        <v>311</v>
      </c>
      <c r="B83" s="3" t="s">
        <v>312</v>
      </c>
      <c r="C83" s="3" t="s">
        <v>79</v>
      </c>
      <c r="D83" s="3" t="s">
        <v>96</v>
      </c>
      <c r="E83" s="3" t="s">
        <v>27</v>
      </c>
      <c r="F83" s="3">
        <v>50</v>
      </c>
      <c r="G83" s="3" t="s">
        <v>313</v>
      </c>
      <c r="H83" s="3" t="s">
        <v>314</v>
      </c>
      <c r="I83" s="3" t="s">
        <v>59</v>
      </c>
      <c r="J83" s="3">
        <v>137072.72</v>
      </c>
      <c r="K83" s="3">
        <v>1</v>
      </c>
      <c r="L83" s="3">
        <v>2.5</v>
      </c>
      <c r="M83" s="3" t="s">
        <v>21</v>
      </c>
      <c r="N83" s="3" t="s">
        <v>31</v>
      </c>
    </row>
    <row r="84" spans="1:14" x14ac:dyDescent="0.25">
      <c r="A84" s="2" t="s">
        <v>315</v>
      </c>
      <c r="B84" s="2" t="s">
        <v>217</v>
      </c>
      <c r="C84" s="2" t="s">
        <v>25</v>
      </c>
      <c r="D84" s="2" t="s">
        <v>96</v>
      </c>
      <c r="E84" s="2" t="s">
        <v>27</v>
      </c>
      <c r="F84" s="2">
        <v>56</v>
      </c>
      <c r="G84" s="2" t="s">
        <v>316</v>
      </c>
      <c r="H84" s="2"/>
      <c r="I84" s="2" t="s">
        <v>20</v>
      </c>
      <c r="J84" s="2">
        <v>437271.07</v>
      </c>
      <c r="K84" s="2">
        <v>4</v>
      </c>
      <c r="L84" s="2">
        <v>14.8</v>
      </c>
      <c r="M84" s="2" t="s">
        <v>47</v>
      </c>
      <c r="N84" s="2" t="s">
        <v>22</v>
      </c>
    </row>
    <row r="85" spans="1:14" x14ac:dyDescent="0.25">
      <c r="A85" s="3" t="s">
        <v>317</v>
      </c>
      <c r="B85" s="3" t="s">
        <v>318</v>
      </c>
      <c r="C85" s="3" t="s">
        <v>50</v>
      </c>
      <c r="D85" s="3" t="s">
        <v>87</v>
      </c>
      <c r="E85" s="4" t="s">
        <v>319</v>
      </c>
      <c r="F85" s="3">
        <v>49</v>
      </c>
      <c r="G85" s="3" t="s">
        <v>320</v>
      </c>
      <c r="H85" s="3"/>
      <c r="I85" s="3" t="s">
        <v>20</v>
      </c>
      <c r="J85" s="3">
        <v>884231.78</v>
      </c>
      <c r="K85" s="3">
        <v>1</v>
      </c>
      <c r="L85" s="3">
        <v>7.4</v>
      </c>
      <c r="M85" s="3" t="s">
        <v>42</v>
      </c>
      <c r="N85" s="3" t="s">
        <v>22</v>
      </c>
    </row>
    <row r="86" spans="1:14" x14ac:dyDescent="0.25">
      <c r="A86" s="2" t="s">
        <v>321</v>
      </c>
      <c r="B86" s="2" t="s">
        <v>322</v>
      </c>
      <c r="C86" s="2" t="s">
        <v>112</v>
      </c>
      <c r="D86" s="2" t="s">
        <v>80</v>
      </c>
      <c r="E86" s="2" t="s">
        <v>18</v>
      </c>
      <c r="F86" s="2">
        <v>50</v>
      </c>
      <c r="G86" s="4" t="s">
        <v>323</v>
      </c>
      <c r="H86" s="4"/>
      <c r="I86" s="2" t="s">
        <v>20</v>
      </c>
      <c r="J86" s="2">
        <v>945722.23</v>
      </c>
      <c r="K86" s="2">
        <v>4</v>
      </c>
      <c r="L86" s="2">
        <v>11.9</v>
      </c>
      <c r="M86" s="2" t="s">
        <v>71</v>
      </c>
      <c r="N86" s="2" t="s">
        <v>22</v>
      </c>
    </row>
    <row r="87" spans="1:14" x14ac:dyDescent="0.25">
      <c r="A87" s="3" t="s">
        <v>324</v>
      </c>
      <c r="B87" s="3" t="s">
        <v>325</v>
      </c>
      <c r="C87" s="3" t="s">
        <v>45</v>
      </c>
      <c r="D87" s="3" t="s">
        <v>96</v>
      </c>
      <c r="E87" s="3" t="s">
        <v>18</v>
      </c>
      <c r="F87" s="3">
        <v>24</v>
      </c>
      <c r="G87" s="3" t="s">
        <v>326</v>
      </c>
      <c r="H87" s="3"/>
      <c r="I87" s="3" t="s">
        <v>20</v>
      </c>
      <c r="J87" s="3">
        <v>1260548.3600000001</v>
      </c>
      <c r="K87" s="3">
        <v>1</v>
      </c>
      <c r="L87" s="3">
        <v>0.2</v>
      </c>
      <c r="M87" s="3" t="s">
        <v>47</v>
      </c>
      <c r="N87" s="3" t="s">
        <v>22</v>
      </c>
    </row>
    <row r="88" spans="1:14" x14ac:dyDescent="0.25">
      <c r="A88" s="2" t="s">
        <v>327</v>
      </c>
      <c r="B88" s="2" t="s">
        <v>328</v>
      </c>
      <c r="C88" s="2" t="s">
        <v>112</v>
      </c>
      <c r="D88" s="2" t="s">
        <v>96</v>
      </c>
      <c r="E88" s="2" t="s">
        <v>27</v>
      </c>
      <c r="F88" s="2">
        <v>45</v>
      </c>
      <c r="G88" s="2" t="s">
        <v>329</v>
      </c>
      <c r="H88" s="2" t="s">
        <v>330</v>
      </c>
      <c r="I88" s="2" t="s">
        <v>59</v>
      </c>
      <c r="J88" s="2">
        <v>256774.06</v>
      </c>
      <c r="K88" s="2">
        <v>3</v>
      </c>
      <c r="L88" s="2">
        <v>3.3</v>
      </c>
      <c r="M88" s="2" t="s">
        <v>42</v>
      </c>
      <c r="N88" s="2" t="s">
        <v>31</v>
      </c>
    </row>
    <row r="89" spans="1:14" x14ac:dyDescent="0.25">
      <c r="A89" s="3" t="s">
        <v>331</v>
      </c>
      <c r="B89" s="3" t="s">
        <v>332</v>
      </c>
      <c r="C89" s="3" t="s">
        <v>65</v>
      </c>
      <c r="D89" s="3" t="s">
        <v>80</v>
      </c>
      <c r="E89" s="3" t="s">
        <v>18</v>
      </c>
      <c r="F89" s="3">
        <v>30</v>
      </c>
      <c r="G89" s="3" t="s">
        <v>333</v>
      </c>
      <c r="H89" s="3" t="s">
        <v>334</v>
      </c>
      <c r="I89" s="3" t="s">
        <v>30</v>
      </c>
      <c r="J89" s="3">
        <v>625290.79</v>
      </c>
      <c r="K89" s="3">
        <v>5</v>
      </c>
      <c r="L89" s="3">
        <v>12.5</v>
      </c>
      <c r="M89" s="3" t="s">
        <v>21</v>
      </c>
      <c r="N89" s="4"/>
    </row>
    <row r="90" spans="1:14" x14ac:dyDescent="0.25">
      <c r="A90" s="2" t="s">
        <v>335</v>
      </c>
      <c r="B90" s="2" t="s">
        <v>336</v>
      </c>
      <c r="C90" s="2" t="s">
        <v>50</v>
      </c>
      <c r="D90" s="2" t="s">
        <v>74</v>
      </c>
      <c r="E90" s="2" t="s">
        <v>18</v>
      </c>
      <c r="F90" s="2">
        <v>39</v>
      </c>
      <c r="G90" s="2" t="s">
        <v>337</v>
      </c>
      <c r="H90" s="2" t="s">
        <v>338</v>
      </c>
      <c r="I90" s="2" t="s">
        <v>30</v>
      </c>
      <c r="J90" s="2">
        <v>127975.76</v>
      </c>
      <c r="K90" s="2">
        <v>2</v>
      </c>
      <c r="L90" s="2">
        <v>3.4</v>
      </c>
      <c r="M90" s="2" t="s">
        <v>47</v>
      </c>
      <c r="N90" s="2" t="s">
        <v>31</v>
      </c>
    </row>
    <row r="91" spans="1:14" x14ac:dyDescent="0.25">
      <c r="A91" s="3" t="s">
        <v>339</v>
      </c>
      <c r="B91" s="3" t="s">
        <v>340</v>
      </c>
      <c r="C91" s="3" t="s">
        <v>65</v>
      </c>
      <c r="D91" s="3" t="s">
        <v>40</v>
      </c>
      <c r="E91" s="3" t="s">
        <v>27</v>
      </c>
      <c r="F91" s="3">
        <v>27</v>
      </c>
      <c r="G91" s="3" t="s">
        <v>341</v>
      </c>
      <c r="H91" s="3"/>
      <c r="I91" s="3" t="s">
        <v>20</v>
      </c>
      <c r="J91" s="4"/>
      <c r="K91" s="4">
        <v>0</v>
      </c>
      <c r="L91" s="4">
        <v>-3.9</v>
      </c>
      <c r="M91" s="4" t="s">
        <v>342</v>
      </c>
      <c r="N91" s="3" t="s">
        <v>22</v>
      </c>
    </row>
    <row r="92" spans="1:14" x14ac:dyDescent="0.25">
      <c r="A92" s="2" t="s">
        <v>343</v>
      </c>
      <c r="B92" s="2" t="s">
        <v>344</v>
      </c>
      <c r="C92" s="2" t="s">
        <v>112</v>
      </c>
      <c r="D92" s="2" t="s">
        <v>96</v>
      </c>
      <c r="E92" s="4" t="s">
        <v>56</v>
      </c>
      <c r="F92" s="2">
        <v>48</v>
      </c>
      <c r="G92" s="2" t="s">
        <v>263</v>
      </c>
      <c r="H92" s="2"/>
      <c r="I92" s="2" t="s">
        <v>20</v>
      </c>
      <c r="J92" s="2">
        <v>1171379.08</v>
      </c>
      <c r="K92" s="2">
        <v>3</v>
      </c>
      <c r="L92" s="2">
        <v>2.7</v>
      </c>
      <c r="M92" s="2" t="s">
        <v>36</v>
      </c>
      <c r="N92" s="2" t="s">
        <v>22</v>
      </c>
    </row>
    <row r="93" spans="1:14" x14ac:dyDescent="0.25">
      <c r="A93" s="3" t="s">
        <v>345</v>
      </c>
      <c r="B93" s="3" t="s">
        <v>346</v>
      </c>
      <c r="C93" s="3" t="s">
        <v>39</v>
      </c>
      <c r="D93" s="3" t="s">
        <v>74</v>
      </c>
      <c r="E93" s="3" t="s">
        <v>18</v>
      </c>
      <c r="F93" s="3">
        <v>48</v>
      </c>
      <c r="G93" s="3" t="s">
        <v>347</v>
      </c>
      <c r="H93" s="3"/>
      <c r="I93" s="3" t="s">
        <v>20</v>
      </c>
      <c r="J93" s="3">
        <v>335064.96999999997</v>
      </c>
      <c r="K93" s="3">
        <v>3</v>
      </c>
      <c r="L93" s="3">
        <v>7.7</v>
      </c>
      <c r="M93" s="3" t="s">
        <v>42</v>
      </c>
      <c r="N93" s="3" t="s">
        <v>22</v>
      </c>
    </row>
    <row r="94" spans="1:14" x14ac:dyDescent="0.25">
      <c r="A94" s="2" t="s">
        <v>348</v>
      </c>
      <c r="B94" s="2" t="s">
        <v>107</v>
      </c>
      <c r="C94" s="2" t="s">
        <v>112</v>
      </c>
      <c r="D94" s="2" t="s">
        <v>96</v>
      </c>
      <c r="E94" s="2" t="s">
        <v>27</v>
      </c>
      <c r="F94" s="2">
        <v>38</v>
      </c>
      <c r="G94" s="2" t="s">
        <v>349</v>
      </c>
      <c r="H94" s="2"/>
      <c r="I94" s="2" t="s">
        <v>20</v>
      </c>
      <c r="J94" s="2">
        <v>699445.76000000001</v>
      </c>
      <c r="K94" s="2">
        <v>2</v>
      </c>
      <c r="L94" s="2">
        <v>13.4</v>
      </c>
      <c r="M94" s="2" t="s">
        <v>36</v>
      </c>
      <c r="N94" s="2" t="s">
        <v>22</v>
      </c>
    </row>
    <row r="95" spans="1:14" x14ac:dyDescent="0.25">
      <c r="A95" s="3" t="s">
        <v>350</v>
      </c>
      <c r="B95" s="3" t="s">
        <v>351</v>
      </c>
      <c r="C95" s="3" t="s">
        <v>112</v>
      </c>
      <c r="D95" s="3" t="s">
        <v>96</v>
      </c>
      <c r="E95" s="3" t="s">
        <v>27</v>
      </c>
      <c r="F95" s="3">
        <v>54</v>
      </c>
      <c r="G95" s="3" t="s">
        <v>352</v>
      </c>
      <c r="H95" s="3"/>
      <c r="I95" s="3" t="s">
        <v>20</v>
      </c>
      <c r="J95" s="3">
        <v>88861.14</v>
      </c>
      <c r="K95" s="3">
        <v>2</v>
      </c>
      <c r="L95" s="3">
        <v>6.4</v>
      </c>
      <c r="M95" s="3" t="s">
        <v>42</v>
      </c>
      <c r="N95" s="3" t="s">
        <v>22</v>
      </c>
    </row>
    <row r="96" spans="1:14" x14ac:dyDescent="0.25">
      <c r="A96" s="2" t="s">
        <v>353</v>
      </c>
      <c r="B96" s="2" t="s">
        <v>354</v>
      </c>
      <c r="C96" s="2" t="s">
        <v>39</v>
      </c>
      <c r="D96" s="2" t="s">
        <v>40</v>
      </c>
      <c r="E96" s="2" t="s">
        <v>18</v>
      </c>
      <c r="F96" s="2">
        <v>47</v>
      </c>
      <c r="G96" s="2" t="s">
        <v>355</v>
      </c>
      <c r="H96" s="2"/>
      <c r="I96" s="2" t="s">
        <v>20</v>
      </c>
      <c r="J96" s="2">
        <v>614800.73</v>
      </c>
      <c r="K96" s="2">
        <v>5</v>
      </c>
      <c r="L96" s="2">
        <v>3.9</v>
      </c>
      <c r="M96" s="2" t="s">
        <v>47</v>
      </c>
      <c r="N96" s="2" t="s">
        <v>22</v>
      </c>
    </row>
    <row r="97" spans="1:14" x14ac:dyDescent="0.25">
      <c r="A97" s="3" t="s">
        <v>356</v>
      </c>
      <c r="B97" s="3" t="s">
        <v>357</v>
      </c>
      <c r="C97" s="3" t="s">
        <v>65</v>
      </c>
      <c r="D97" s="3" t="s">
        <v>87</v>
      </c>
      <c r="E97" s="3" t="s">
        <v>18</v>
      </c>
      <c r="F97" s="3">
        <v>48</v>
      </c>
      <c r="G97" s="3" t="s">
        <v>358</v>
      </c>
      <c r="H97" s="3" t="s">
        <v>359</v>
      </c>
      <c r="I97" s="3" t="s">
        <v>59</v>
      </c>
      <c r="J97" s="3">
        <v>815266.47</v>
      </c>
      <c r="K97" s="3">
        <v>5</v>
      </c>
      <c r="L97" s="3">
        <v>3.6</v>
      </c>
      <c r="M97" s="3" t="s">
        <v>42</v>
      </c>
      <c r="N97" s="3" t="s">
        <v>31</v>
      </c>
    </row>
    <row r="98" spans="1:14" x14ac:dyDescent="0.25">
      <c r="A98" s="2" t="s">
        <v>360</v>
      </c>
      <c r="B98" s="2" t="s">
        <v>361</v>
      </c>
      <c r="C98" s="2" t="s">
        <v>65</v>
      </c>
      <c r="D98" s="2" t="s">
        <v>74</v>
      </c>
      <c r="E98" s="2" t="s">
        <v>18</v>
      </c>
      <c r="F98" s="2">
        <v>46</v>
      </c>
      <c r="G98" s="2" t="s">
        <v>362</v>
      </c>
      <c r="H98" s="2"/>
      <c r="I98" s="2" t="s">
        <v>20</v>
      </c>
      <c r="J98" s="2">
        <v>1120160.3700000001</v>
      </c>
      <c r="K98" s="2">
        <v>3</v>
      </c>
      <c r="L98" s="2">
        <v>13</v>
      </c>
      <c r="M98" s="2" t="s">
        <v>42</v>
      </c>
      <c r="N98" s="2" t="s">
        <v>22</v>
      </c>
    </row>
    <row r="99" spans="1:14" x14ac:dyDescent="0.25">
      <c r="A99" s="3" t="s">
        <v>363</v>
      </c>
      <c r="B99" s="3" t="s">
        <v>364</v>
      </c>
      <c r="C99" s="3" t="s">
        <v>39</v>
      </c>
      <c r="D99" s="3" t="s">
        <v>51</v>
      </c>
      <c r="E99" s="4" t="s">
        <v>137</v>
      </c>
      <c r="F99" s="3">
        <v>27</v>
      </c>
      <c r="G99" s="3" t="s">
        <v>172</v>
      </c>
      <c r="H99" s="3" t="s">
        <v>365</v>
      </c>
      <c r="I99" s="3" t="s">
        <v>59</v>
      </c>
      <c r="J99" s="3">
        <v>715390.14</v>
      </c>
      <c r="K99" s="3">
        <v>4</v>
      </c>
      <c r="L99" s="3">
        <v>6.7</v>
      </c>
      <c r="M99" s="3" t="s">
        <v>21</v>
      </c>
      <c r="N99" s="3" t="s">
        <v>31</v>
      </c>
    </row>
    <row r="100" spans="1:14" x14ac:dyDescent="0.25">
      <c r="A100" s="2" t="s">
        <v>366</v>
      </c>
      <c r="B100" s="2" t="s">
        <v>351</v>
      </c>
      <c r="C100" s="2" t="s">
        <v>50</v>
      </c>
      <c r="D100" s="2" t="s">
        <v>87</v>
      </c>
      <c r="E100" s="2" t="s">
        <v>18</v>
      </c>
      <c r="F100" s="2">
        <v>38</v>
      </c>
      <c r="G100" s="2" t="s">
        <v>367</v>
      </c>
      <c r="H100" s="2"/>
      <c r="I100" s="2" t="s">
        <v>20</v>
      </c>
      <c r="J100" s="2">
        <v>1324827.71</v>
      </c>
      <c r="K100" s="2">
        <v>4</v>
      </c>
      <c r="L100" s="2">
        <v>1</v>
      </c>
      <c r="M100" s="4" t="s">
        <v>310</v>
      </c>
      <c r="N100" s="2" t="s">
        <v>22</v>
      </c>
    </row>
    <row r="101" spans="1:14" x14ac:dyDescent="0.25">
      <c r="A101" s="3" t="s">
        <v>368</v>
      </c>
      <c r="B101" s="3" t="s">
        <v>369</v>
      </c>
      <c r="C101" s="3" t="s">
        <v>65</v>
      </c>
      <c r="D101" s="3" t="s">
        <v>80</v>
      </c>
      <c r="E101" s="3" t="s">
        <v>18</v>
      </c>
      <c r="F101" s="3">
        <v>41</v>
      </c>
      <c r="G101" s="3" t="s">
        <v>116</v>
      </c>
      <c r="H101" s="3"/>
      <c r="I101" s="3" t="s">
        <v>20</v>
      </c>
      <c r="J101" s="3">
        <v>313147.27</v>
      </c>
      <c r="K101" s="3">
        <v>4</v>
      </c>
      <c r="L101" s="3">
        <v>4.5999999999999996</v>
      </c>
      <c r="M101" s="3" t="s">
        <v>47</v>
      </c>
      <c r="N101" s="3" t="s">
        <v>22</v>
      </c>
    </row>
    <row r="102" spans="1:14" x14ac:dyDescent="0.25">
      <c r="A102" s="2" t="s">
        <v>370</v>
      </c>
      <c r="B102" s="2" t="s">
        <v>371</v>
      </c>
      <c r="C102" s="2" t="s">
        <v>39</v>
      </c>
      <c r="D102" s="2" t="s">
        <v>87</v>
      </c>
      <c r="E102" s="2" t="s">
        <v>18</v>
      </c>
      <c r="F102" s="2">
        <v>34</v>
      </c>
      <c r="G102" s="2" t="s">
        <v>372</v>
      </c>
      <c r="H102" s="2"/>
      <c r="I102" s="2" t="s">
        <v>20</v>
      </c>
      <c r="J102" s="2">
        <v>1478109.88</v>
      </c>
      <c r="K102" s="2">
        <v>4</v>
      </c>
      <c r="L102" s="2">
        <v>18.899999999999999</v>
      </c>
      <c r="M102" s="2" t="s">
        <v>42</v>
      </c>
      <c r="N102" s="2" t="s">
        <v>22</v>
      </c>
    </row>
    <row r="103" spans="1:14" x14ac:dyDescent="0.25">
      <c r="A103" s="3" t="s">
        <v>373</v>
      </c>
      <c r="B103" s="3" t="s">
        <v>374</v>
      </c>
      <c r="C103" s="3" t="s">
        <v>39</v>
      </c>
      <c r="D103" s="3" t="s">
        <v>51</v>
      </c>
      <c r="E103" s="3" t="s">
        <v>27</v>
      </c>
      <c r="F103" s="3">
        <v>30</v>
      </c>
      <c r="G103" s="4" t="s">
        <v>375</v>
      </c>
      <c r="H103" s="4"/>
      <c r="I103" s="3" t="s">
        <v>20</v>
      </c>
      <c r="J103" s="3">
        <v>658865.21</v>
      </c>
      <c r="K103" s="3">
        <v>3</v>
      </c>
      <c r="L103" s="3">
        <v>0.6</v>
      </c>
      <c r="M103" s="3" t="s">
        <v>36</v>
      </c>
      <c r="N103" s="3" t="s">
        <v>22</v>
      </c>
    </row>
    <row r="104" spans="1:14" x14ac:dyDescent="0.25">
      <c r="A104" s="2" t="s">
        <v>376</v>
      </c>
      <c r="B104" s="2" t="s">
        <v>377</v>
      </c>
      <c r="C104" s="2" t="s">
        <v>25</v>
      </c>
      <c r="D104" s="2" t="s">
        <v>80</v>
      </c>
      <c r="E104" s="2" t="s">
        <v>27</v>
      </c>
      <c r="F104" s="2">
        <v>32</v>
      </c>
      <c r="G104" s="2" t="s">
        <v>378</v>
      </c>
      <c r="H104" s="2"/>
      <c r="I104" s="2" t="s">
        <v>20</v>
      </c>
      <c r="J104" s="2">
        <v>1141429.95</v>
      </c>
      <c r="K104" s="2">
        <v>5</v>
      </c>
      <c r="L104" s="2">
        <v>3.4</v>
      </c>
      <c r="M104" s="2" t="s">
        <v>42</v>
      </c>
      <c r="N104" s="2" t="s">
        <v>22</v>
      </c>
    </row>
    <row r="105" spans="1:14" x14ac:dyDescent="0.25">
      <c r="A105" s="3" t="s">
        <v>379</v>
      </c>
      <c r="B105" s="3" t="s">
        <v>127</v>
      </c>
      <c r="C105" s="3" t="s">
        <v>65</v>
      </c>
      <c r="D105" s="3" t="s">
        <v>40</v>
      </c>
      <c r="E105" s="3" t="s">
        <v>27</v>
      </c>
      <c r="F105" s="3">
        <v>43</v>
      </c>
      <c r="G105" s="3" t="s">
        <v>380</v>
      </c>
      <c r="H105" s="3"/>
      <c r="I105" s="3" t="s">
        <v>20</v>
      </c>
      <c r="J105" s="3">
        <v>1384406.56</v>
      </c>
      <c r="K105" s="3">
        <v>5</v>
      </c>
      <c r="L105" s="3">
        <v>7.8</v>
      </c>
      <c r="M105" s="3" t="s">
        <v>47</v>
      </c>
      <c r="N105" s="3" t="s">
        <v>22</v>
      </c>
    </row>
    <row r="106" spans="1:14" x14ac:dyDescent="0.25">
      <c r="A106" s="2" t="s">
        <v>381</v>
      </c>
      <c r="B106" s="2" t="s">
        <v>382</v>
      </c>
      <c r="C106" s="2" t="s">
        <v>65</v>
      </c>
      <c r="D106" s="2" t="s">
        <v>87</v>
      </c>
      <c r="E106" s="4" t="s">
        <v>383</v>
      </c>
      <c r="F106" s="2">
        <v>42</v>
      </c>
      <c r="G106" s="2" t="s">
        <v>384</v>
      </c>
      <c r="H106" s="2"/>
      <c r="I106" s="2" t="s">
        <v>20</v>
      </c>
      <c r="J106" s="4"/>
      <c r="K106" s="2">
        <v>3</v>
      </c>
      <c r="L106" s="2">
        <v>19.5</v>
      </c>
      <c r="M106" s="2" t="s">
        <v>42</v>
      </c>
      <c r="N106" s="2" t="s">
        <v>22</v>
      </c>
    </row>
    <row r="107" spans="1:14" x14ac:dyDescent="0.25">
      <c r="A107" s="3" t="s">
        <v>385</v>
      </c>
      <c r="B107" s="3" t="s">
        <v>386</v>
      </c>
      <c r="C107" s="3" t="s">
        <v>112</v>
      </c>
      <c r="D107" s="3" t="s">
        <v>26</v>
      </c>
      <c r="E107" s="3" t="s">
        <v>18</v>
      </c>
      <c r="F107" s="3">
        <v>57</v>
      </c>
      <c r="G107" s="3" t="s">
        <v>387</v>
      </c>
      <c r="H107" s="3"/>
      <c r="I107" s="3" t="s">
        <v>20</v>
      </c>
      <c r="J107" s="3">
        <v>1102343.92</v>
      </c>
      <c r="K107" s="3">
        <v>3</v>
      </c>
      <c r="L107" s="3">
        <v>12.5</v>
      </c>
      <c r="M107" s="3" t="s">
        <v>47</v>
      </c>
      <c r="N107" s="3" t="s">
        <v>22</v>
      </c>
    </row>
    <row r="108" spans="1:14" x14ac:dyDescent="0.25">
      <c r="A108" s="2" t="s">
        <v>388</v>
      </c>
      <c r="B108" s="2" t="s">
        <v>144</v>
      </c>
      <c r="C108" s="2" t="s">
        <v>79</v>
      </c>
      <c r="D108" s="2" t="s">
        <v>87</v>
      </c>
      <c r="E108" s="2" t="s">
        <v>27</v>
      </c>
      <c r="F108" s="2">
        <v>24</v>
      </c>
      <c r="G108" s="2" t="s">
        <v>389</v>
      </c>
      <c r="H108" s="2" t="s">
        <v>390</v>
      </c>
      <c r="I108" s="2" t="s">
        <v>30</v>
      </c>
      <c r="J108" s="2">
        <v>102458.35</v>
      </c>
      <c r="K108" s="2">
        <v>1</v>
      </c>
      <c r="L108" s="2">
        <v>17.100000000000001</v>
      </c>
      <c r="M108" s="2" t="s">
        <v>36</v>
      </c>
      <c r="N108" s="2" t="s">
        <v>31</v>
      </c>
    </row>
    <row r="109" spans="1:14" x14ac:dyDescent="0.25">
      <c r="A109" s="3" t="s">
        <v>391</v>
      </c>
      <c r="B109" s="3" t="s">
        <v>392</v>
      </c>
      <c r="C109" s="3" t="s">
        <v>65</v>
      </c>
      <c r="D109" s="3" t="s">
        <v>80</v>
      </c>
      <c r="E109" s="3" t="s">
        <v>18</v>
      </c>
      <c r="F109" s="3">
        <v>49</v>
      </c>
      <c r="G109" s="3" t="s">
        <v>393</v>
      </c>
      <c r="H109" s="3"/>
      <c r="I109" s="3" t="s">
        <v>20</v>
      </c>
      <c r="J109" s="3">
        <v>669019.16</v>
      </c>
      <c r="K109" s="4">
        <v>0</v>
      </c>
      <c r="L109" s="3">
        <v>18.899999999999999</v>
      </c>
      <c r="M109" s="4" t="s">
        <v>105</v>
      </c>
      <c r="N109" s="3" t="s">
        <v>22</v>
      </c>
    </row>
    <row r="110" spans="1:14" x14ac:dyDescent="0.25">
      <c r="A110" s="2" t="s">
        <v>394</v>
      </c>
      <c r="B110" s="2" t="s">
        <v>395</v>
      </c>
      <c r="C110" s="2" t="s">
        <v>79</v>
      </c>
      <c r="D110" s="2" t="s">
        <v>26</v>
      </c>
      <c r="E110" s="2" t="s">
        <v>27</v>
      </c>
      <c r="F110" s="2">
        <v>44</v>
      </c>
      <c r="G110" s="2" t="s">
        <v>396</v>
      </c>
      <c r="H110" s="2"/>
      <c r="I110" s="2" t="s">
        <v>20</v>
      </c>
      <c r="J110" s="2">
        <v>683380.83</v>
      </c>
      <c r="K110" s="2">
        <v>1</v>
      </c>
      <c r="L110" s="2">
        <v>13.5</v>
      </c>
      <c r="M110" s="2" t="s">
        <v>47</v>
      </c>
      <c r="N110" s="2" t="s">
        <v>22</v>
      </c>
    </row>
    <row r="111" spans="1:14" x14ac:dyDescent="0.25">
      <c r="A111" s="3" t="s">
        <v>397</v>
      </c>
      <c r="B111" s="3" t="s">
        <v>398</v>
      </c>
      <c r="C111" s="3" t="s">
        <v>65</v>
      </c>
      <c r="D111" s="3" t="s">
        <v>87</v>
      </c>
      <c r="E111" s="3" t="s">
        <v>27</v>
      </c>
      <c r="F111" s="3">
        <v>41</v>
      </c>
      <c r="G111" s="3" t="s">
        <v>399</v>
      </c>
      <c r="H111" s="3"/>
      <c r="I111" s="3" t="s">
        <v>20</v>
      </c>
      <c r="J111" s="3">
        <v>511219.06</v>
      </c>
      <c r="K111" s="3">
        <v>1</v>
      </c>
      <c r="L111" s="3">
        <v>10.7</v>
      </c>
      <c r="M111" s="3" t="s">
        <v>42</v>
      </c>
      <c r="N111" s="4"/>
    </row>
    <row r="112" spans="1:14" x14ac:dyDescent="0.25">
      <c r="A112" s="2" t="s">
        <v>400</v>
      </c>
      <c r="B112" s="2" t="s">
        <v>401</v>
      </c>
      <c r="C112" s="2" t="s">
        <v>25</v>
      </c>
      <c r="D112" s="2" t="s">
        <v>40</v>
      </c>
      <c r="E112" s="2" t="s">
        <v>27</v>
      </c>
      <c r="F112" s="2">
        <v>39</v>
      </c>
      <c r="G112" s="2" t="s">
        <v>402</v>
      </c>
      <c r="H112" s="2"/>
      <c r="I112" s="2" t="s">
        <v>20</v>
      </c>
      <c r="J112" s="2">
        <v>180455.22</v>
      </c>
      <c r="K112" s="2">
        <v>2</v>
      </c>
      <c r="L112" s="2">
        <v>12.9</v>
      </c>
      <c r="M112" s="2" t="s">
        <v>21</v>
      </c>
      <c r="N112" s="2" t="s">
        <v>22</v>
      </c>
    </row>
    <row r="113" spans="1:14" x14ac:dyDescent="0.25">
      <c r="A113" s="3" t="s">
        <v>403</v>
      </c>
      <c r="B113" s="3" t="s">
        <v>404</v>
      </c>
      <c r="C113" s="3" t="s">
        <v>50</v>
      </c>
      <c r="D113" s="3" t="s">
        <v>96</v>
      </c>
      <c r="E113" s="4" t="s">
        <v>383</v>
      </c>
      <c r="F113" s="3">
        <v>47</v>
      </c>
      <c r="G113" s="3" t="s">
        <v>405</v>
      </c>
      <c r="H113" s="3" t="s">
        <v>406</v>
      </c>
      <c r="I113" s="3" t="s">
        <v>59</v>
      </c>
      <c r="J113" s="3">
        <v>508722.54</v>
      </c>
      <c r="K113" s="3">
        <v>2</v>
      </c>
      <c r="L113" s="3">
        <v>12.4</v>
      </c>
      <c r="M113" s="3" t="s">
        <v>42</v>
      </c>
      <c r="N113" s="3" t="s">
        <v>31</v>
      </c>
    </row>
    <row r="114" spans="1:14" x14ac:dyDescent="0.25">
      <c r="A114" s="2" t="s">
        <v>407</v>
      </c>
      <c r="B114" s="2" t="s">
        <v>224</v>
      </c>
      <c r="C114" s="2" t="s">
        <v>45</v>
      </c>
      <c r="D114" s="2" t="s">
        <v>87</v>
      </c>
      <c r="E114" s="2" t="s">
        <v>18</v>
      </c>
      <c r="F114" s="2">
        <v>53</v>
      </c>
      <c r="G114" s="2" t="s">
        <v>408</v>
      </c>
      <c r="H114" s="2"/>
      <c r="I114" s="2" t="s">
        <v>20</v>
      </c>
      <c r="J114" s="2">
        <v>748518.89</v>
      </c>
      <c r="K114" s="2">
        <v>2</v>
      </c>
      <c r="L114" s="2">
        <v>0.7</v>
      </c>
      <c r="M114" s="2" t="s">
        <v>36</v>
      </c>
      <c r="N114" s="2" t="s">
        <v>22</v>
      </c>
    </row>
    <row r="115" spans="1:14" x14ac:dyDescent="0.25">
      <c r="A115" s="3" t="s">
        <v>409</v>
      </c>
      <c r="B115" s="3" t="s">
        <v>234</v>
      </c>
      <c r="C115" s="3" t="s">
        <v>112</v>
      </c>
      <c r="D115" s="3" t="s">
        <v>40</v>
      </c>
      <c r="E115" s="3" t="s">
        <v>27</v>
      </c>
      <c r="F115" s="3">
        <v>35</v>
      </c>
      <c r="G115" s="3" t="s">
        <v>410</v>
      </c>
      <c r="H115" s="3" t="s">
        <v>411</v>
      </c>
      <c r="I115" s="3" t="s">
        <v>59</v>
      </c>
      <c r="J115" s="3">
        <v>147643.21</v>
      </c>
      <c r="K115" s="3">
        <v>3</v>
      </c>
      <c r="L115" s="3">
        <v>4.5999999999999996</v>
      </c>
      <c r="M115" s="3" t="s">
        <v>36</v>
      </c>
      <c r="N115" s="3" t="s">
        <v>31</v>
      </c>
    </row>
    <row r="116" spans="1:14" x14ac:dyDescent="0.25">
      <c r="A116" s="2" t="s">
        <v>412</v>
      </c>
      <c r="B116" s="2" t="s">
        <v>131</v>
      </c>
      <c r="C116" s="2" t="s">
        <v>16</v>
      </c>
      <c r="D116" s="2" t="s">
        <v>51</v>
      </c>
      <c r="E116" s="2" t="s">
        <v>18</v>
      </c>
      <c r="F116" s="2">
        <v>22</v>
      </c>
      <c r="G116" s="2" t="s">
        <v>211</v>
      </c>
      <c r="H116" s="2"/>
      <c r="I116" s="2" t="s">
        <v>20</v>
      </c>
      <c r="J116" s="2">
        <v>1089464.78</v>
      </c>
      <c r="K116" s="2">
        <v>3</v>
      </c>
      <c r="L116" s="2">
        <v>13.9</v>
      </c>
      <c r="M116" s="2" t="s">
        <v>47</v>
      </c>
      <c r="N116" s="2" t="s">
        <v>22</v>
      </c>
    </row>
    <row r="117" spans="1:14" x14ac:dyDescent="0.25">
      <c r="A117" s="3" t="s">
        <v>413</v>
      </c>
      <c r="B117" s="3" t="s">
        <v>414</v>
      </c>
      <c r="C117" s="3" t="s">
        <v>16</v>
      </c>
      <c r="D117" s="3" t="s">
        <v>26</v>
      </c>
      <c r="E117" s="3" t="s">
        <v>18</v>
      </c>
      <c r="F117" s="3">
        <v>37</v>
      </c>
      <c r="G117" s="3" t="s">
        <v>415</v>
      </c>
      <c r="H117" s="3" t="s">
        <v>416</v>
      </c>
      <c r="I117" s="3" t="s">
        <v>59</v>
      </c>
      <c r="J117" s="3">
        <v>305797.42</v>
      </c>
      <c r="K117" s="3">
        <v>3</v>
      </c>
      <c r="L117" s="3">
        <v>2.9</v>
      </c>
      <c r="M117" s="3" t="s">
        <v>21</v>
      </c>
      <c r="N117" s="3" t="s">
        <v>31</v>
      </c>
    </row>
    <row r="118" spans="1:14" x14ac:dyDescent="0.25">
      <c r="A118" s="2" t="s">
        <v>417</v>
      </c>
      <c r="B118" s="2" t="s">
        <v>207</v>
      </c>
      <c r="C118" s="2" t="s">
        <v>25</v>
      </c>
      <c r="D118" s="2" t="s">
        <v>26</v>
      </c>
      <c r="E118" s="2" t="s">
        <v>27</v>
      </c>
      <c r="F118" s="2">
        <v>40</v>
      </c>
      <c r="G118" s="2" t="s">
        <v>418</v>
      </c>
      <c r="H118" s="2" t="s">
        <v>419</v>
      </c>
      <c r="I118" s="2" t="s">
        <v>30</v>
      </c>
      <c r="J118" s="2">
        <v>971437.13</v>
      </c>
      <c r="K118" s="2">
        <v>2</v>
      </c>
      <c r="L118" s="2">
        <v>7.1</v>
      </c>
      <c r="M118" s="4" t="s">
        <v>310</v>
      </c>
      <c r="N118" s="2" t="s">
        <v>31</v>
      </c>
    </row>
    <row r="119" spans="1:14" x14ac:dyDescent="0.25">
      <c r="A119" s="3" t="s">
        <v>420</v>
      </c>
      <c r="B119" s="3" t="s">
        <v>392</v>
      </c>
      <c r="C119" s="3" t="s">
        <v>50</v>
      </c>
      <c r="D119" s="3" t="s">
        <v>96</v>
      </c>
      <c r="E119" s="3" t="s">
        <v>27</v>
      </c>
      <c r="F119" s="3">
        <v>44</v>
      </c>
      <c r="G119" s="3" t="s">
        <v>421</v>
      </c>
      <c r="H119" s="3" t="s">
        <v>347</v>
      </c>
      <c r="I119" s="3" t="s">
        <v>30</v>
      </c>
      <c r="J119" s="3">
        <v>450594.2</v>
      </c>
      <c r="K119" s="3">
        <v>1</v>
      </c>
      <c r="L119" s="3">
        <v>0.3</v>
      </c>
      <c r="M119" s="3" t="s">
        <v>36</v>
      </c>
      <c r="N119" s="3" t="s">
        <v>31</v>
      </c>
    </row>
    <row r="120" spans="1:14" x14ac:dyDescent="0.25">
      <c r="A120" s="2" t="s">
        <v>422</v>
      </c>
      <c r="B120" s="2" t="s">
        <v>423</v>
      </c>
      <c r="C120" s="2" t="s">
        <v>16</v>
      </c>
      <c r="D120" s="2" t="s">
        <v>17</v>
      </c>
      <c r="E120" s="4" t="s">
        <v>159</v>
      </c>
      <c r="F120" s="2">
        <v>50</v>
      </c>
      <c r="G120" s="4" t="s">
        <v>424</v>
      </c>
      <c r="H120" s="4"/>
      <c r="I120" s="2" t="s">
        <v>20</v>
      </c>
      <c r="J120" s="2">
        <v>1147909.82</v>
      </c>
      <c r="K120" s="2">
        <v>4</v>
      </c>
      <c r="L120" s="2">
        <v>3.2</v>
      </c>
      <c r="M120" s="2" t="s">
        <v>42</v>
      </c>
      <c r="N120" s="2" t="s">
        <v>22</v>
      </c>
    </row>
    <row r="121" spans="1:14" x14ac:dyDescent="0.25">
      <c r="A121" s="3" t="s">
        <v>425</v>
      </c>
      <c r="B121" s="3" t="s">
        <v>426</v>
      </c>
      <c r="C121" s="3" t="s">
        <v>79</v>
      </c>
      <c r="D121" s="3" t="s">
        <v>40</v>
      </c>
      <c r="E121" s="3" t="s">
        <v>27</v>
      </c>
      <c r="F121" s="3">
        <v>30</v>
      </c>
      <c r="G121" s="3" t="s">
        <v>427</v>
      </c>
      <c r="H121" s="3"/>
      <c r="I121" s="3" t="s">
        <v>20</v>
      </c>
      <c r="J121" s="4"/>
      <c r="K121" s="3">
        <v>5</v>
      </c>
      <c r="L121" s="4">
        <v>-3.4</v>
      </c>
      <c r="M121" s="3" t="s">
        <v>21</v>
      </c>
      <c r="N121" s="3" t="s">
        <v>22</v>
      </c>
    </row>
    <row r="122" spans="1:14" x14ac:dyDescent="0.25">
      <c r="A122" s="2" t="s">
        <v>428</v>
      </c>
      <c r="B122" s="2" t="s">
        <v>429</v>
      </c>
      <c r="C122" s="2" t="s">
        <v>25</v>
      </c>
      <c r="D122" s="2" t="s">
        <v>80</v>
      </c>
      <c r="E122" s="2" t="s">
        <v>27</v>
      </c>
      <c r="F122" s="2">
        <v>56</v>
      </c>
      <c r="G122" s="2" t="s">
        <v>430</v>
      </c>
      <c r="H122" s="2" t="s">
        <v>431</v>
      </c>
      <c r="I122" s="2" t="s">
        <v>59</v>
      </c>
      <c r="J122" s="2">
        <v>500050.03</v>
      </c>
      <c r="K122" s="2">
        <v>4</v>
      </c>
      <c r="L122" s="2">
        <v>8.4</v>
      </c>
      <c r="M122" s="2" t="s">
        <v>71</v>
      </c>
      <c r="N122" s="2" t="s">
        <v>31</v>
      </c>
    </row>
    <row r="123" spans="1:14" x14ac:dyDescent="0.25">
      <c r="A123" s="3" t="s">
        <v>432</v>
      </c>
      <c r="B123" s="3" t="s">
        <v>433</v>
      </c>
      <c r="C123" s="3" t="s">
        <v>79</v>
      </c>
      <c r="D123" s="3" t="s">
        <v>80</v>
      </c>
      <c r="E123" s="3" t="s">
        <v>18</v>
      </c>
      <c r="F123" s="3">
        <v>35</v>
      </c>
      <c r="G123" s="3" t="s">
        <v>434</v>
      </c>
      <c r="H123" s="3"/>
      <c r="I123" s="3" t="s">
        <v>20</v>
      </c>
      <c r="J123" s="3">
        <v>849670.85</v>
      </c>
      <c r="K123" s="3">
        <v>3</v>
      </c>
      <c r="L123" s="3">
        <v>4.4000000000000004</v>
      </c>
      <c r="M123" s="3" t="s">
        <v>36</v>
      </c>
      <c r="N123" s="3" t="s">
        <v>22</v>
      </c>
    </row>
    <row r="124" spans="1:14" x14ac:dyDescent="0.25">
      <c r="A124" s="2" t="s">
        <v>435</v>
      </c>
      <c r="B124" s="2" t="s">
        <v>436</v>
      </c>
      <c r="C124" s="2" t="s">
        <v>16</v>
      </c>
      <c r="D124" s="2" t="s">
        <v>51</v>
      </c>
      <c r="E124" s="2" t="s">
        <v>27</v>
      </c>
      <c r="F124" s="2">
        <v>22</v>
      </c>
      <c r="G124" s="2" t="s">
        <v>437</v>
      </c>
      <c r="H124" s="2"/>
      <c r="I124" s="2" t="s">
        <v>20</v>
      </c>
      <c r="J124" s="2">
        <v>576152.94999999995</v>
      </c>
      <c r="K124" s="2">
        <v>5</v>
      </c>
      <c r="L124" s="2">
        <v>19.5</v>
      </c>
      <c r="M124" s="2" t="s">
        <v>47</v>
      </c>
      <c r="N124" s="2" t="s">
        <v>22</v>
      </c>
    </row>
    <row r="125" spans="1:14" x14ac:dyDescent="0.25">
      <c r="A125" s="3" t="s">
        <v>438</v>
      </c>
      <c r="B125" s="3" t="s">
        <v>439</v>
      </c>
      <c r="C125" s="3" t="s">
        <v>65</v>
      </c>
      <c r="D125" s="3" t="s">
        <v>96</v>
      </c>
      <c r="E125" s="3" t="s">
        <v>18</v>
      </c>
      <c r="F125" s="3">
        <v>51</v>
      </c>
      <c r="G125" s="3" t="s">
        <v>440</v>
      </c>
      <c r="H125" s="3"/>
      <c r="I125" s="3" t="s">
        <v>20</v>
      </c>
      <c r="J125" s="3">
        <v>623926.34</v>
      </c>
      <c r="K125" s="3">
        <v>4</v>
      </c>
      <c r="L125" s="3">
        <v>4.5</v>
      </c>
      <c r="M125" s="3" t="s">
        <v>47</v>
      </c>
      <c r="N125" s="3" t="s">
        <v>22</v>
      </c>
    </row>
    <row r="126" spans="1:14" x14ac:dyDescent="0.25">
      <c r="A126" s="2" t="s">
        <v>441</v>
      </c>
      <c r="B126" s="2" t="s">
        <v>442</v>
      </c>
      <c r="C126" s="2" t="s">
        <v>65</v>
      </c>
      <c r="D126" s="2" t="s">
        <v>51</v>
      </c>
      <c r="E126" s="2" t="s">
        <v>18</v>
      </c>
      <c r="F126" s="2">
        <v>27</v>
      </c>
      <c r="G126" s="2" t="s">
        <v>443</v>
      </c>
      <c r="H126" s="2" t="s">
        <v>444</v>
      </c>
      <c r="I126" s="2" t="s">
        <v>59</v>
      </c>
      <c r="J126" s="2">
        <v>112541.25</v>
      </c>
      <c r="K126" s="2">
        <v>4</v>
      </c>
      <c r="L126" s="2">
        <v>12.6</v>
      </c>
      <c r="M126" s="2" t="s">
        <v>21</v>
      </c>
      <c r="N126" s="2" t="s">
        <v>31</v>
      </c>
    </row>
    <row r="127" spans="1:14" x14ac:dyDescent="0.25">
      <c r="A127" s="3" t="s">
        <v>445</v>
      </c>
      <c r="B127" s="3" t="s">
        <v>318</v>
      </c>
      <c r="C127" s="3" t="s">
        <v>16</v>
      </c>
      <c r="D127" s="3" t="s">
        <v>96</v>
      </c>
      <c r="E127" s="4" t="s">
        <v>137</v>
      </c>
      <c r="F127" s="3">
        <v>39</v>
      </c>
      <c r="G127" s="3" t="s">
        <v>446</v>
      </c>
      <c r="H127" s="3"/>
      <c r="I127" s="3" t="s">
        <v>20</v>
      </c>
      <c r="J127" s="3">
        <v>1068878.45</v>
      </c>
      <c r="K127" s="4">
        <v>0</v>
      </c>
      <c r="L127" s="3">
        <v>14.7</v>
      </c>
      <c r="M127" s="4" t="s">
        <v>447</v>
      </c>
      <c r="N127" s="3" t="s">
        <v>22</v>
      </c>
    </row>
    <row r="128" spans="1:14" x14ac:dyDescent="0.25">
      <c r="A128" s="2" t="s">
        <v>448</v>
      </c>
      <c r="B128" s="2" t="s">
        <v>449</v>
      </c>
      <c r="C128" s="2" t="s">
        <v>112</v>
      </c>
      <c r="D128" s="2" t="s">
        <v>51</v>
      </c>
      <c r="E128" s="2" t="s">
        <v>27</v>
      </c>
      <c r="F128" s="2">
        <v>40</v>
      </c>
      <c r="G128" s="2" t="s">
        <v>450</v>
      </c>
      <c r="H128" s="2"/>
      <c r="I128" s="2" t="s">
        <v>20</v>
      </c>
      <c r="J128" s="2">
        <v>138981.25</v>
      </c>
      <c r="K128" s="2">
        <v>1</v>
      </c>
      <c r="L128" s="2">
        <v>16.5</v>
      </c>
      <c r="M128" s="2" t="s">
        <v>42</v>
      </c>
      <c r="N128" s="2" t="s">
        <v>22</v>
      </c>
    </row>
    <row r="129" spans="1:14" x14ac:dyDescent="0.25">
      <c r="A129" s="3" t="s">
        <v>451</v>
      </c>
      <c r="B129" s="3" t="s">
        <v>452</v>
      </c>
      <c r="C129" s="3" t="s">
        <v>50</v>
      </c>
      <c r="D129" s="3" t="s">
        <v>40</v>
      </c>
      <c r="E129" s="3" t="s">
        <v>18</v>
      </c>
      <c r="F129" s="3">
        <v>37</v>
      </c>
      <c r="G129" s="3" t="s">
        <v>453</v>
      </c>
      <c r="H129" s="3" t="s">
        <v>454</v>
      </c>
      <c r="I129" s="3" t="s">
        <v>30</v>
      </c>
      <c r="J129" s="3">
        <v>1063692.72</v>
      </c>
      <c r="K129" s="3">
        <v>2</v>
      </c>
      <c r="L129" s="3">
        <v>18.5</v>
      </c>
      <c r="M129" s="3" t="s">
        <v>42</v>
      </c>
      <c r="N129" s="3" t="s">
        <v>31</v>
      </c>
    </row>
    <row r="130" spans="1:14" x14ac:dyDescent="0.25">
      <c r="A130" s="2" t="s">
        <v>455</v>
      </c>
      <c r="B130" s="2" t="s">
        <v>456</v>
      </c>
      <c r="C130" s="2" t="s">
        <v>50</v>
      </c>
      <c r="D130" s="2" t="s">
        <v>74</v>
      </c>
      <c r="E130" s="2" t="s">
        <v>18</v>
      </c>
      <c r="F130" s="2">
        <v>51</v>
      </c>
      <c r="G130" s="2" t="s">
        <v>457</v>
      </c>
      <c r="H130" s="2"/>
      <c r="I130" s="2" t="s">
        <v>20</v>
      </c>
      <c r="J130" s="2">
        <v>323872.17</v>
      </c>
      <c r="K130" s="2">
        <v>1</v>
      </c>
      <c r="L130" s="2">
        <v>13.7</v>
      </c>
      <c r="M130" s="2" t="s">
        <v>47</v>
      </c>
      <c r="N130" s="2" t="s">
        <v>22</v>
      </c>
    </row>
    <row r="131" spans="1:14" x14ac:dyDescent="0.25">
      <c r="A131" s="3" t="s">
        <v>458</v>
      </c>
      <c r="B131" s="3" t="s">
        <v>144</v>
      </c>
      <c r="C131" s="3" t="s">
        <v>79</v>
      </c>
      <c r="D131" s="3" t="s">
        <v>17</v>
      </c>
      <c r="E131" s="3" t="s">
        <v>27</v>
      </c>
      <c r="F131" s="3">
        <v>58</v>
      </c>
      <c r="G131" s="3" t="s">
        <v>459</v>
      </c>
      <c r="H131" s="3"/>
      <c r="I131" s="3" t="s">
        <v>20</v>
      </c>
      <c r="J131" s="3">
        <v>974430.24</v>
      </c>
      <c r="K131" s="3">
        <v>1</v>
      </c>
      <c r="L131" s="3">
        <v>0</v>
      </c>
      <c r="M131" s="3" t="s">
        <v>42</v>
      </c>
      <c r="N131" s="3" t="s">
        <v>22</v>
      </c>
    </row>
    <row r="132" spans="1:14" x14ac:dyDescent="0.25">
      <c r="A132" s="2" t="s">
        <v>460</v>
      </c>
      <c r="B132" s="2" t="s">
        <v>461</v>
      </c>
      <c r="C132" s="2" t="s">
        <v>45</v>
      </c>
      <c r="D132" s="2" t="s">
        <v>80</v>
      </c>
      <c r="E132" s="2" t="s">
        <v>18</v>
      </c>
      <c r="F132" s="2">
        <v>48</v>
      </c>
      <c r="G132" s="2" t="s">
        <v>462</v>
      </c>
      <c r="H132" s="2" t="s">
        <v>463</v>
      </c>
      <c r="I132" s="2" t="s">
        <v>30</v>
      </c>
      <c r="J132" s="2">
        <v>993283.69</v>
      </c>
      <c r="K132" s="2">
        <v>2</v>
      </c>
      <c r="L132" s="2">
        <v>18.3</v>
      </c>
      <c r="M132" s="2" t="s">
        <v>47</v>
      </c>
      <c r="N132" s="2" t="s">
        <v>31</v>
      </c>
    </row>
    <row r="133" spans="1:14" x14ac:dyDescent="0.25">
      <c r="A133" s="3" t="s">
        <v>464</v>
      </c>
      <c r="B133" s="3" t="s">
        <v>465</v>
      </c>
      <c r="C133" s="3" t="s">
        <v>39</v>
      </c>
      <c r="D133" s="3" t="s">
        <v>40</v>
      </c>
      <c r="E133" s="3" t="s">
        <v>27</v>
      </c>
      <c r="F133" s="3">
        <v>39</v>
      </c>
      <c r="G133" s="3" t="s">
        <v>466</v>
      </c>
      <c r="H133" s="3"/>
      <c r="I133" s="3" t="s">
        <v>20</v>
      </c>
      <c r="J133" s="3">
        <v>1241221.9099999999</v>
      </c>
      <c r="K133" s="3">
        <v>5</v>
      </c>
      <c r="L133" s="3">
        <v>11.1</v>
      </c>
      <c r="M133" s="3" t="s">
        <v>42</v>
      </c>
      <c r="N133" s="4"/>
    </row>
    <row r="134" spans="1:14" x14ac:dyDescent="0.25">
      <c r="A134" s="2" t="s">
        <v>467</v>
      </c>
      <c r="B134" s="2" t="s">
        <v>468</v>
      </c>
      <c r="C134" s="2" t="s">
        <v>79</v>
      </c>
      <c r="D134" s="2" t="s">
        <v>74</v>
      </c>
      <c r="E134" s="4" t="s">
        <v>383</v>
      </c>
      <c r="F134" s="2">
        <v>57</v>
      </c>
      <c r="G134" s="2" t="s">
        <v>469</v>
      </c>
      <c r="H134" s="2"/>
      <c r="I134" s="2" t="s">
        <v>20</v>
      </c>
      <c r="J134" s="2">
        <v>1097873.9099999999</v>
      </c>
      <c r="K134" s="2">
        <v>1</v>
      </c>
      <c r="L134" s="2">
        <v>16.899999999999999</v>
      </c>
      <c r="M134" s="2" t="s">
        <v>71</v>
      </c>
      <c r="N134" s="2" t="s">
        <v>22</v>
      </c>
    </row>
    <row r="135" spans="1:14" x14ac:dyDescent="0.25">
      <c r="A135" s="3" t="s">
        <v>470</v>
      </c>
      <c r="B135" s="3" t="s">
        <v>471</v>
      </c>
      <c r="C135" s="3" t="s">
        <v>112</v>
      </c>
      <c r="D135" s="3" t="s">
        <v>87</v>
      </c>
      <c r="E135" s="3" t="s">
        <v>27</v>
      </c>
      <c r="F135" s="3">
        <v>54</v>
      </c>
      <c r="G135" s="3" t="s">
        <v>472</v>
      </c>
      <c r="H135" s="3"/>
      <c r="I135" s="3" t="s">
        <v>20</v>
      </c>
      <c r="J135" s="3">
        <v>1362441.15</v>
      </c>
      <c r="K135" s="3">
        <v>1</v>
      </c>
      <c r="L135" s="3">
        <v>7.1</v>
      </c>
      <c r="M135" s="3" t="s">
        <v>42</v>
      </c>
      <c r="N135" s="3" t="s">
        <v>22</v>
      </c>
    </row>
    <row r="136" spans="1:14" x14ac:dyDescent="0.25">
      <c r="A136" s="2" t="s">
        <v>473</v>
      </c>
      <c r="B136" s="2" t="s">
        <v>474</v>
      </c>
      <c r="C136" s="2" t="s">
        <v>45</v>
      </c>
      <c r="D136" s="2" t="s">
        <v>17</v>
      </c>
      <c r="E136" s="2" t="s">
        <v>27</v>
      </c>
      <c r="F136" s="2">
        <v>40</v>
      </c>
      <c r="G136" s="2" t="s">
        <v>475</v>
      </c>
      <c r="H136" s="2"/>
      <c r="I136" s="2" t="s">
        <v>20</v>
      </c>
      <c r="J136" s="4"/>
      <c r="K136" s="2">
        <v>2</v>
      </c>
      <c r="L136" s="2">
        <v>16</v>
      </c>
      <c r="M136" s="4" t="s">
        <v>447</v>
      </c>
      <c r="N136" s="2" t="s">
        <v>22</v>
      </c>
    </row>
    <row r="137" spans="1:14" x14ac:dyDescent="0.25">
      <c r="A137" s="3" t="s">
        <v>476</v>
      </c>
      <c r="B137" s="3" t="s">
        <v>477</v>
      </c>
      <c r="C137" s="3" t="s">
        <v>45</v>
      </c>
      <c r="D137" s="3" t="s">
        <v>40</v>
      </c>
      <c r="E137" s="3" t="s">
        <v>18</v>
      </c>
      <c r="F137" s="3">
        <v>24</v>
      </c>
      <c r="G137" s="4" t="s">
        <v>478</v>
      </c>
      <c r="H137" s="4" t="s">
        <v>479</v>
      </c>
      <c r="I137" s="3" t="s">
        <v>30</v>
      </c>
      <c r="J137" s="3">
        <v>1485590.34</v>
      </c>
      <c r="K137" s="3">
        <v>5</v>
      </c>
      <c r="L137" s="3">
        <v>9.1999999999999993</v>
      </c>
      <c r="M137" s="3" t="s">
        <v>36</v>
      </c>
      <c r="N137" s="3" t="s">
        <v>31</v>
      </c>
    </row>
    <row r="138" spans="1:14" x14ac:dyDescent="0.25">
      <c r="A138" s="2" t="s">
        <v>480</v>
      </c>
      <c r="B138" s="2" t="s">
        <v>111</v>
      </c>
      <c r="C138" s="2" t="s">
        <v>65</v>
      </c>
      <c r="D138" s="2" t="s">
        <v>74</v>
      </c>
      <c r="E138" s="2" t="s">
        <v>27</v>
      </c>
      <c r="F138" s="2">
        <v>57</v>
      </c>
      <c r="G138" s="2" t="s">
        <v>481</v>
      </c>
      <c r="H138" s="2" t="s">
        <v>482</v>
      </c>
      <c r="I138" s="2" t="s">
        <v>30</v>
      </c>
      <c r="J138" s="2">
        <v>504353.71</v>
      </c>
      <c r="K138" s="2">
        <v>2</v>
      </c>
      <c r="L138" s="2">
        <v>0.5</v>
      </c>
      <c r="M138" s="2" t="s">
        <v>71</v>
      </c>
      <c r="N138" s="2" t="s">
        <v>31</v>
      </c>
    </row>
    <row r="139" spans="1:14" x14ac:dyDescent="0.25">
      <c r="A139" s="3" t="s">
        <v>483</v>
      </c>
      <c r="B139" s="3" t="s">
        <v>484</v>
      </c>
      <c r="C139" s="3" t="s">
        <v>45</v>
      </c>
      <c r="D139" s="3" t="s">
        <v>26</v>
      </c>
      <c r="E139" s="3" t="s">
        <v>18</v>
      </c>
      <c r="F139" s="3">
        <v>49</v>
      </c>
      <c r="G139" s="3" t="s">
        <v>485</v>
      </c>
      <c r="H139" s="3"/>
      <c r="I139" s="3" t="s">
        <v>20</v>
      </c>
      <c r="J139" s="3">
        <v>1452983.94</v>
      </c>
      <c r="K139" s="3">
        <v>5</v>
      </c>
      <c r="L139" s="3">
        <v>13.5</v>
      </c>
      <c r="M139" s="3" t="s">
        <v>47</v>
      </c>
      <c r="N139" s="3" t="s">
        <v>22</v>
      </c>
    </row>
    <row r="140" spans="1:14" x14ac:dyDescent="0.25">
      <c r="A140" s="2" t="s">
        <v>486</v>
      </c>
      <c r="B140" s="2" t="s">
        <v>487</v>
      </c>
      <c r="C140" s="2" t="s">
        <v>39</v>
      </c>
      <c r="D140" s="2" t="s">
        <v>74</v>
      </c>
      <c r="E140" s="2" t="s">
        <v>18</v>
      </c>
      <c r="F140" s="2">
        <v>33</v>
      </c>
      <c r="G140" s="2" t="s">
        <v>488</v>
      </c>
      <c r="H140" s="2"/>
      <c r="I140" s="2" t="s">
        <v>20</v>
      </c>
      <c r="J140" s="2">
        <v>123522.03</v>
      </c>
      <c r="K140" s="2">
        <v>1</v>
      </c>
      <c r="L140" s="2">
        <v>12.1</v>
      </c>
      <c r="M140" s="2" t="s">
        <v>21</v>
      </c>
      <c r="N140" s="2" t="s">
        <v>22</v>
      </c>
    </row>
    <row r="141" spans="1:14" x14ac:dyDescent="0.25">
      <c r="A141" s="3" t="s">
        <v>489</v>
      </c>
      <c r="B141" s="3" t="s">
        <v>490</v>
      </c>
      <c r="C141" s="3" t="s">
        <v>65</v>
      </c>
      <c r="D141" s="3" t="s">
        <v>17</v>
      </c>
      <c r="E141" s="4" t="s">
        <v>88</v>
      </c>
      <c r="F141" s="3">
        <v>39</v>
      </c>
      <c r="G141" s="3" t="s">
        <v>491</v>
      </c>
      <c r="H141" s="3"/>
      <c r="I141" s="3" t="s">
        <v>20</v>
      </c>
      <c r="J141" s="3">
        <v>423911.69</v>
      </c>
      <c r="K141" s="3">
        <v>1</v>
      </c>
      <c r="L141" s="3">
        <v>10.199999999999999</v>
      </c>
      <c r="M141" s="3" t="s">
        <v>42</v>
      </c>
      <c r="N141" s="3" t="s">
        <v>22</v>
      </c>
    </row>
    <row r="142" spans="1:14" x14ac:dyDescent="0.25">
      <c r="A142" s="2" t="s">
        <v>492</v>
      </c>
      <c r="B142" s="2" t="s">
        <v>493</v>
      </c>
      <c r="C142" s="2" t="s">
        <v>65</v>
      </c>
      <c r="D142" s="2" t="s">
        <v>40</v>
      </c>
      <c r="E142" s="2" t="s">
        <v>18</v>
      </c>
      <c r="F142" s="2">
        <v>53</v>
      </c>
      <c r="G142" s="2" t="s">
        <v>494</v>
      </c>
      <c r="H142" s="2"/>
      <c r="I142" s="2" t="s">
        <v>20</v>
      </c>
      <c r="J142" s="2">
        <v>781828.26</v>
      </c>
      <c r="K142" s="2">
        <v>1</v>
      </c>
      <c r="L142" s="2">
        <v>2.2000000000000002</v>
      </c>
      <c r="M142" s="2" t="s">
        <v>42</v>
      </c>
      <c r="N142" s="2" t="s">
        <v>22</v>
      </c>
    </row>
    <row r="143" spans="1:14" x14ac:dyDescent="0.25">
      <c r="A143" s="3" t="s">
        <v>495</v>
      </c>
      <c r="B143" s="3" t="s">
        <v>95</v>
      </c>
      <c r="C143" s="3" t="s">
        <v>112</v>
      </c>
      <c r="D143" s="3" t="s">
        <v>80</v>
      </c>
      <c r="E143" s="3" t="s">
        <v>27</v>
      </c>
      <c r="F143" s="3">
        <v>24</v>
      </c>
      <c r="G143" s="3" t="s">
        <v>496</v>
      </c>
      <c r="H143" s="3" t="s">
        <v>497</v>
      </c>
      <c r="I143" s="3" t="s">
        <v>30</v>
      </c>
      <c r="J143" s="3">
        <v>1123529.24</v>
      </c>
      <c r="K143" s="3">
        <v>4</v>
      </c>
      <c r="L143" s="3">
        <v>14.9</v>
      </c>
      <c r="M143" s="3" t="s">
        <v>71</v>
      </c>
      <c r="N143" s="3" t="s">
        <v>31</v>
      </c>
    </row>
    <row r="144" spans="1:14" x14ac:dyDescent="0.25">
      <c r="A144" s="2" t="s">
        <v>498</v>
      </c>
      <c r="B144" s="2" t="s">
        <v>499</v>
      </c>
      <c r="C144" s="2" t="s">
        <v>112</v>
      </c>
      <c r="D144" s="2" t="s">
        <v>51</v>
      </c>
      <c r="E144" s="2" t="s">
        <v>18</v>
      </c>
      <c r="F144" s="2">
        <v>35</v>
      </c>
      <c r="G144" s="2" t="s">
        <v>500</v>
      </c>
      <c r="H144" s="2" t="s">
        <v>501</v>
      </c>
      <c r="I144" s="2" t="s">
        <v>30</v>
      </c>
      <c r="J144" s="2">
        <v>450648.41</v>
      </c>
      <c r="K144" s="2">
        <v>4</v>
      </c>
      <c r="L144" s="2">
        <v>14.5</v>
      </c>
      <c r="M144" s="2" t="s">
        <v>36</v>
      </c>
      <c r="N144" s="2" t="s">
        <v>31</v>
      </c>
    </row>
    <row r="145" spans="1:14" x14ac:dyDescent="0.25">
      <c r="A145" s="3" t="s">
        <v>502</v>
      </c>
      <c r="B145" s="3" t="s">
        <v>404</v>
      </c>
      <c r="C145" s="3" t="s">
        <v>50</v>
      </c>
      <c r="D145" s="3" t="s">
        <v>74</v>
      </c>
      <c r="E145" s="3" t="s">
        <v>27</v>
      </c>
      <c r="F145" s="3">
        <v>45</v>
      </c>
      <c r="G145" s="3" t="s">
        <v>503</v>
      </c>
      <c r="H145" s="3"/>
      <c r="I145" s="3" t="s">
        <v>20</v>
      </c>
      <c r="J145" s="3">
        <v>928573.89</v>
      </c>
      <c r="K145" s="4">
        <v>0</v>
      </c>
      <c r="L145" s="3">
        <v>0.6</v>
      </c>
      <c r="M145" s="4" t="s">
        <v>42</v>
      </c>
      <c r="N145" s="3" t="s">
        <v>22</v>
      </c>
    </row>
    <row r="146" spans="1:14" x14ac:dyDescent="0.25">
      <c r="A146" s="2" t="s">
        <v>504</v>
      </c>
      <c r="B146" s="2" t="s">
        <v>61</v>
      </c>
      <c r="C146" s="2" t="s">
        <v>39</v>
      </c>
      <c r="D146" s="2" t="s">
        <v>17</v>
      </c>
      <c r="E146" s="2" t="s">
        <v>18</v>
      </c>
      <c r="F146" s="2">
        <v>52</v>
      </c>
      <c r="G146" s="2" t="s">
        <v>505</v>
      </c>
      <c r="H146" s="2"/>
      <c r="I146" s="2" t="s">
        <v>20</v>
      </c>
      <c r="J146" s="2">
        <v>1216804.48</v>
      </c>
      <c r="K146" s="2">
        <v>3</v>
      </c>
      <c r="L146" s="2">
        <v>14.3</v>
      </c>
      <c r="M146" s="2" t="s">
        <v>71</v>
      </c>
      <c r="N146" s="2" t="s">
        <v>22</v>
      </c>
    </row>
    <row r="147" spans="1:14" x14ac:dyDescent="0.25">
      <c r="A147" s="3" t="s">
        <v>506</v>
      </c>
      <c r="B147" s="3" t="s">
        <v>136</v>
      </c>
      <c r="C147" s="3" t="s">
        <v>39</v>
      </c>
      <c r="D147" s="3" t="s">
        <v>96</v>
      </c>
      <c r="E147" s="3" t="s">
        <v>27</v>
      </c>
      <c r="F147" s="3">
        <v>55</v>
      </c>
      <c r="G147" s="3" t="s">
        <v>507</v>
      </c>
      <c r="H147" s="3" t="s">
        <v>508</v>
      </c>
      <c r="I147" s="3" t="s">
        <v>59</v>
      </c>
      <c r="J147" s="3">
        <v>640154.14</v>
      </c>
      <c r="K147" s="3">
        <v>5</v>
      </c>
      <c r="L147" s="3">
        <v>6.9</v>
      </c>
      <c r="M147" s="3" t="s">
        <v>21</v>
      </c>
      <c r="N147" s="3" t="s">
        <v>31</v>
      </c>
    </row>
    <row r="148" spans="1:14" x14ac:dyDescent="0.25">
      <c r="A148" s="2" t="s">
        <v>509</v>
      </c>
      <c r="B148" s="2" t="s">
        <v>414</v>
      </c>
      <c r="C148" s="2" t="s">
        <v>65</v>
      </c>
      <c r="D148" s="2" t="s">
        <v>17</v>
      </c>
      <c r="E148" s="4" t="s">
        <v>159</v>
      </c>
      <c r="F148" s="2">
        <v>45</v>
      </c>
      <c r="G148" s="2" t="s">
        <v>510</v>
      </c>
      <c r="H148" s="2" t="s">
        <v>511</v>
      </c>
      <c r="I148" s="2" t="s">
        <v>59</v>
      </c>
      <c r="J148" s="2">
        <v>654773.93999999994</v>
      </c>
      <c r="K148" s="2">
        <v>4</v>
      </c>
      <c r="L148" s="2">
        <v>11.2</v>
      </c>
      <c r="M148" s="2" t="s">
        <v>42</v>
      </c>
      <c r="N148" s="2" t="s">
        <v>31</v>
      </c>
    </row>
    <row r="149" spans="1:14" x14ac:dyDescent="0.25">
      <c r="A149" s="3" t="s">
        <v>512</v>
      </c>
      <c r="B149" s="3" t="s">
        <v>180</v>
      </c>
      <c r="C149" s="3" t="s">
        <v>79</v>
      </c>
      <c r="D149" s="3" t="s">
        <v>17</v>
      </c>
      <c r="E149" s="3" t="s">
        <v>27</v>
      </c>
      <c r="F149" s="3">
        <v>31</v>
      </c>
      <c r="G149" s="3" t="s">
        <v>513</v>
      </c>
      <c r="H149" s="3" t="s">
        <v>514</v>
      </c>
      <c r="I149" s="3" t="s">
        <v>59</v>
      </c>
      <c r="J149" s="3">
        <v>1059781.6200000001</v>
      </c>
      <c r="K149" s="3">
        <v>2</v>
      </c>
      <c r="L149" s="3">
        <v>14.9</v>
      </c>
      <c r="M149" s="3" t="s">
        <v>71</v>
      </c>
      <c r="N149" s="3" t="s">
        <v>31</v>
      </c>
    </row>
    <row r="150" spans="1:14" x14ac:dyDescent="0.25">
      <c r="A150" s="2" t="s">
        <v>515</v>
      </c>
      <c r="B150" s="2" t="s">
        <v>516</v>
      </c>
      <c r="C150" s="2" t="s">
        <v>16</v>
      </c>
      <c r="D150" s="2" t="s">
        <v>74</v>
      </c>
      <c r="E150" s="2" t="s">
        <v>18</v>
      </c>
      <c r="F150" s="2">
        <v>36</v>
      </c>
      <c r="G150" s="2" t="s">
        <v>517</v>
      </c>
      <c r="H150" s="2" t="s">
        <v>518</v>
      </c>
      <c r="I150" s="2" t="s">
        <v>59</v>
      </c>
      <c r="J150" s="2">
        <v>1127809.1200000001</v>
      </c>
      <c r="K150" s="2">
        <v>5</v>
      </c>
      <c r="L150" s="2">
        <v>12.2</v>
      </c>
      <c r="M150" s="2" t="s">
        <v>42</v>
      </c>
      <c r="N150" s="2" t="s">
        <v>31</v>
      </c>
    </row>
    <row r="151" spans="1:14" x14ac:dyDescent="0.25">
      <c r="A151" s="3" t="s">
        <v>519</v>
      </c>
      <c r="B151" s="3" t="s">
        <v>520</v>
      </c>
      <c r="C151" s="3" t="s">
        <v>50</v>
      </c>
      <c r="D151" s="3" t="s">
        <v>74</v>
      </c>
      <c r="E151" s="3" t="s">
        <v>18</v>
      </c>
      <c r="F151" s="3">
        <v>24</v>
      </c>
      <c r="G151" s="3" t="s">
        <v>521</v>
      </c>
      <c r="H151" s="3" t="s">
        <v>522</v>
      </c>
      <c r="I151" s="3" t="s">
        <v>30</v>
      </c>
      <c r="J151" s="4"/>
      <c r="K151" s="3">
        <v>4</v>
      </c>
      <c r="L151" s="4">
        <v>-2.2000000000000002</v>
      </c>
      <c r="M151" s="3" t="s">
        <v>71</v>
      </c>
      <c r="N151" s="3" t="s">
        <v>31</v>
      </c>
    </row>
    <row r="152" spans="1:14" x14ac:dyDescent="0.25">
      <c r="A152" s="2" t="s">
        <v>523</v>
      </c>
      <c r="B152" s="2" t="s">
        <v>524</v>
      </c>
      <c r="C152" s="2" t="s">
        <v>45</v>
      </c>
      <c r="D152" s="2" t="s">
        <v>40</v>
      </c>
      <c r="E152" s="2" t="s">
        <v>18</v>
      </c>
      <c r="F152" s="2">
        <v>23</v>
      </c>
      <c r="G152" s="2" t="s">
        <v>525</v>
      </c>
      <c r="H152" s="2"/>
      <c r="I152" s="2" t="s">
        <v>20</v>
      </c>
      <c r="J152" s="2">
        <v>371289.33</v>
      </c>
      <c r="K152" s="2">
        <v>4</v>
      </c>
      <c r="L152" s="2">
        <v>10.7</v>
      </c>
      <c r="M152" s="2" t="s">
        <v>21</v>
      </c>
      <c r="N152" s="2" t="s">
        <v>22</v>
      </c>
    </row>
    <row r="153" spans="1:14" x14ac:dyDescent="0.25">
      <c r="A153" s="3" t="s">
        <v>526</v>
      </c>
      <c r="B153" s="3" t="s">
        <v>55</v>
      </c>
      <c r="C153" s="3" t="s">
        <v>79</v>
      </c>
      <c r="D153" s="3" t="s">
        <v>96</v>
      </c>
      <c r="E153" s="3" t="s">
        <v>18</v>
      </c>
      <c r="F153" s="3">
        <v>41</v>
      </c>
      <c r="G153" s="3" t="s">
        <v>527</v>
      </c>
      <c r="H153" s="3"/>
      <c r="I153" s="3" t="s">
        <v>20</v>
      </c>
      <c r="J153" s="3">
        <v>189171.13</v>
      </c>
      <c r="K153" s="3">
        <v>1</v>
      </c>
      <c r="L153" s="3">
        <v>5.8</v>
      </c>
      <c r="M153" s="3" t="s">
        <v>21</v>
      </c>
      <c r="N153" s="3" t="s">
        <v>22</v>
      </c>
    </row>
    <row r="154" spans="1:14" x14ac:dyDescent="0.25">
      <c r="A154" s="2" t="s">
        <v>528</v>
      </c>
      <c r="B154" s="2" t="s">
        <v>190</v>
      </c>
      <c r="C154" s="2" t="s">
        <v>39</v>
      </c>
      <c r="D154" s="2" t="s">
        <v>96</v>
      </c>
      <c r="E154" s="2" t="s">
        <v>27</v>
      </c>
      <c r="F154" s="2">
        <v>58</v>
      </c>
      <c r="G154" s="4" t="s">
        <v>529</v>
      </c>
      <c r="H154" s="4"/>
      <c r="I154" s="2" t="s">
        <v>20</v>
      </c>
      <c r="J154" s="2">
        <v>1312384.42</v>
      </c>
      <c r="K154" s="2">
        <v>1</v>
      </c>
      <c r="L154" s="2">
        <v>10.6</v>
      </c>
      <c r="M154" s="4" t="s">
        <v>530</v>
      </c>
      <c r="N154" s="2" t="s">
        <v>22</v>
      </c>
    </row>
    <row r="155" spans="1:14" x14ac:dyDescent="0.25">
      <c r="A155" s="3" t="s">
        <v>531</v>
      </c>
      <c r="B155" s="3" t="s">
        <v>386</v>
      </c>
      <c r="C155" s="3" t="s">
        <v>65</v>
      </c>
      <c r="D155" s="3" t="s">
        <v>96</v>
      </c>
      <c r="E155" s="4" t="s">
        <v>56</v>
      </c>
      <c r="F155" s="3">
        <v>25</v>
      </c>
      <c r="G155" s="3" t="s">
        <v>532</v>
      </c>
      <c r="H155" s="3" t="s">
        <v>533</v>
      </c>
      <c r="I155" s="3" t="s">
        <v>30</v>
      </c>
      <c r="J155" s="3">
        <v>973406.86</v>
      </c>
      <c r="K155" s="3">
        <v>1</v>
      </c>
      <c r="L155" s="3">
        <v>13.2</v>
      </c>
      <c r="M155" s="3" t="s">
        <v>21</v>
      </c>
      <c r="N155" s="4"/>
    </row>
    <row r="156" spans="1:14" x14ac:dyDescent="0.25">
      <c r="A156" s="2" t="s">
        <v>534</v>
      </c>
      <c r="B156" s="2" t="s">
        <v>297</v>
      </c>
      <c r="C156" s="2" t="s">
        <v>50</v>
      </c>
      <c r="D156" s="2" t="s">
        <v>40</v>
      </c>
      <c r="E156" s="2" t="s">
        <v>27</v>
      </c>
      <c r="F156" s="2">
        <v>57</v>
      </c>
      <c r="G156" s="2" t="s">
        <v>172</v>
      </c>
      <c r="H156" s="2"/>
      <c r="I156" s="2" t="s">
        <v>20</v>
      </c>
      <c r="J156" s="2">
        <v>713875.06</v>
      </c>
      <c r="K156" s="2">
        <v>1</v>
      </c>
      <c r="L156" s="2">
        <v>3.6</v>
      </c>
      <c r="M156" s="2" t="s">
        <v>21</v>
      </c>
      <c r="N156" s="2" t="s">
        <v>22</v>
      </c>
    </row>
    <row r="157" spans="1:14" x14ac:dyDescent="0.25">
      <c r="A157" s="3" t="s">
        <v>535</v>
      </c>
      <c r="B157" s="3" t="s">
        <v>346</v>
      </c>
      <c r="C157" s="3" t="s">
        <v>50</v>
      </c>
      <c r="D157" s="3" t="s">
        <v>26</v>
      </c>
      <c r="E157" s="3" t="s">
        <v>18</v>
      </c>
      <c r="F157" s="3">
        <v>43</v>
      </c>
      <c r="G157" s="3" t="s">
        <v>536</v>
      </c>
      <c r="H157" s="3" t="s">
        <v>537</v>
      </c>
      <c r="I157" s="3" t="s">
        <v>30</v>
      </c>
      <c r="J157" s="3">
        <v>982073.85</v>
      </c>
      <c r="K157" s="3">
        <v>5</v>
      </c>
      <c r="L157" s="3">
        <v>4.7</v>
      </c>
      <c r="M157" s="3" t="s">
        <v>36</v>
      </c>
      <c r="N157" s="3" t="s">
        <v>31</v>
      </c>
    </row>
    <row r="158" spans="1:14" x14ac:dyDescent="0.25">
      <c r="A158" s="2" t="s">
        <v>538</v>
      </c>
      <c r="B158" s="2" t="s">
        <v>344</v>
      </c>
      <c r="C158" s="2" t="s">
        <v>25</v>
      </c>
      <c r="D158" s="2" t="s">
        <v>40</v>
      </c>
      <c r="E158" s="2" t="s">
        <v>27</v>
      </c>
      <c r="F158" s="2">
        <v>33</v>
      </c>
      <c r="G158" s="2" t="s">
        <v>539</v>
      </c>
      <c r="H158" s="2" t="s">
        <v>540</v>
      </c>
      <c r="I158" s="2" t="s">
        <v>30</v>
      </c>
      <c r="J158" s="2">
        <v>1078016.46</v>
      </c>
      <c r="K158" s="2">
        <v>1</v>
      </c>
      <c r="L158" s="2">
        <v>12.7</v>
      </c>
      <c r="M158" s="2" t="s">
        <v>71</v>
      </c>
      <c r="N158" s="2" t="s">
        <v>31</v>
      </c>
    </row>
    <row r="159" spans="1:14" x14ac:dyDescent="0.25">
      <c r="A159" s="3" t="s">
        <v>541</v>
      </c>
      <c r="B159" s="3" t="s">
        <v>542</v>
      </c>
      <c r="C159" s="3" t="s">
        <v>79</v>
      </c>
      <c r="D159" s="3" t="s">
        <v>87</v>
      </c>
      <c r="E159" s="3" t="s">
        <v>27</v>
      </c>
      <c r="F159" s="3">
        <v>55</v>
      </c>
      <c r="G159" s="3" t="s">
        <v>543</v>
      </c>
      <c r="H159" s="3" t="s">
        <v>544</v>
      </c>
      <c r="I159" s="3" t="s">
        <v>59</v>
      </c>
      <c r="J159" s="3">
        <v>258984.62</v>
      </c>
      <c r="K159" s="3">
        <v>2</v>
      </c>
      <c r="L159" s="3">
        <v>4.8</v>
      </c>
      <c r="M159" s="3" t="s">
        <v>71</v>
      </c>
      <c r="N159" s="3" t="s">
        <v>31</v>
      </c>
    </row>
    <row r="160" spans="1:14" x14ac:dyDescent="0.25">
      <c r="A160" s="2" t="s">
        <v>545</v>
      </c>
      <c r="B160" s="2" t="s">
        <v>546</v>
      </c>
      <c r="C160" s="2" t="s">
        <v>79</v>
      </c>
      <c r="D160" s="2" t="s">
        <v>51</v>
      </c>
      <c r="E160" s="2" t="s">
        <v>27</v>
      </c>
      <c r="F160" s="2">
        <v>40</v>
      </c>
      <c r="G160" s="2" t="s">
        <v>547</v>
      </c>
      <c r="H160" s="2"/>
      <c r="I160" s="2" t="s">
        <v>20</v>
      </c>
      <c r="J160" s="2">
        <v>396220.18</v>
      </c>
      <c r="K160" s="2">
        <v>3</v>
      </c>
      <c r="L160" s="2">
        <v>13.7</v>
      </c>
      <c r="M160" s="2" t="s">
        <v>36</v>
      </c>
      <c r="N160" s="2" t="s">
        <v>22</v>
      </c>
    </row>
    <row r="161" spans="1:14" x14ac:dyDescent="0.25">
      <c r="A161" s="3" t="s">
        <v>548</v>
      </c>
      <c r="B161" s="3" t="s">
        <v>136</v>
      </c>
      <c r="C161" s="3" t="s">
        <v>50</v>
      </c>
      <c r="D161" s="3" t="s">
        <v>87</v>
      </c>
      <c r="E161" s="3" t="s">
        <v>27</v>
      </c>
      <c r="F161" s="3">
        <v>42</v>
      </c>
      <c r="G161" s="3" t="s">
        <v>549</v>
      </c>
      <c r="H161" s="3"/>
      <c r="I161" s="3" t="s">
        <v>20</v>
      </c>
      <c r="J161" s="3">
        <v>582581.05000000005</v>
      </c>
      <c r="K161" s="3">
        <v>1</v>
      </c>
      <c r="L161" s="3">
        <v>9.1</v>
      </c>
      <c r="M161" s="3" t="s">
        <v>36</v>
      </c>
      <c r="N161" s="3" t="s">
        <v>22</v>
      </c>
    </row>
    <row r="162" spans="1:14" x14ac:dyDescent="0.25">
      <c r="A162" s="2" t="s">
        <v>550</v>
      </c>
      <c r="B162" s="2" t="s">
        <v>131</v>
      </c>
      <c r="C162" s="2" t="s">
        <v>45</v>
      </c>
      <c r="D162" s="2" t="s">
        <v>74</v>
      </c>
      <c r="E162" s="4" t="s">
        <v>88</v>
      </c>
      <c r="F162" s="2">
        <v>45</v>
      </c>
      <c r="G162" s="2" t="s">
        <v>551</v>
      </c>
      <c r="H162" s="2" t="s">
        <v>552</v>
      </c>
      <c r="I162" s="2" t="s">
        <v>59</v>
      </c>
      <c r="J162" s="2">
        <v>1466425.4</v>
      </c>
      <c r="K162" s="2">
        <v>4</v>
      </c>
      <c r="L162" s="2">
        <v>18.399999999999999</v>
      </c>
      <c r="M162" s="2" t="s">
        <v>47</v>
      </c>
      <c r="N162" s="2" t="s">
        <v>31</v>
      </c>
    </row>
    <row r="163" spans="1:14" x14ac:dyDescent="0.25">
      <c r="A163" s="3" t="s">
        <v>553</v>
      </c>
      <c r="B163" s="3" t="s">
        <v>554</v>
      </c>
      <c r="C163" s="3" t="s">
        <v>79</v>
      </c>
      <c r="D163" s="3" t="s">
        <v>74</v>
      </c>
      <c r="E163" s="3" t="s">
        <v>18</v>
      </c>
      <c r="F163" s="3">
        <v>55</v>
      </c>
      <c r="G163" s="3" t="s">
        <v>555</v>
      </c>
      <c r="H163" s="3" t="s">
        <v>556</v>
      </c>
      <c r="I163" s="3" t="s">
        <v>30</v>
      </c>
      <c r="J163" s="3">
        <v>1486684.54</v>
      </c>
      <c r="K163" s="4">
        <v>10</v>
      </c>
      <c r="L163" s="3">
        <v>0.2</v>
      </c>
      <c r="M163" s="4" t="s">
        <v>342</v>
      </c>
      <c r="N163" s="3" t="s">
        <v>31</v>
      </c>
    </row>
    <row r="164" spans="1:14" x14ac:dyDescent="0.25">
      <c r="A164" s="2" t="s">
        <v>557</v>
      </c>
      <c r="B164" s="2" t="s">
        <v>558</v>
      </c>
      <c r="C164" s="2" t="s">
        <v>45</v>
      </c>
      <c r="D164" s="2" t="s">
        <v>17</v>
      </c>
      <c r="E164" s="2" t="s">
        <v>27</v>
      </c>
      <c r="F164" s="2">
        <v>24</v>
      </c>
      <c r="G164" s="2" t="s">
        <v>559</v>
      </c>
      <c r="H164" s="2" t="s">
        <v>560</v>
      </c>
      <c r="I164" s="2" t="s">
        <v>30</v>
      </c>
      <c r="J164" s="2">
        <v>273368.23</v>
      </c>
      <c r="K164" s="2">
        <v>2</v>
      </c>
      <c r="L164" s="2">
        <v>7.9</v>
      </c>
      <c r="M164" s="2" t="s">
        <v>47</v>
      </c>
      <c r="N164" s="2" t="s">
        <v>31</v>
      </c>
    </row>
    <row r="165" spans="1:14" x14ac:dyDescent="0.25">
      <c r="A165" s="3" t="s">
        <v>561</v>
      </c>
      <c r="B165" s="3" t="s">
        <v>371</v>
      </c>
      <c r="C165" s="3" t="s">
        <v>16</v>
      </c>
      <c r="D165" s="3" t="s">
        <v>51</v>
      </c>
      <c r="E165" s="3" t="s">
        <v>27</v>
      </c>
      <c r="F165" s="3">
        <v>42</v>
      </c>
      <c r="G165" s="3" t="s">
        <v>525</v>
      </c>
      <c r="H165" s="3"/>
      <c r="I165" s="3" t="s">
        <v>20</v>
      </c>
      <c r="J165" s="3">
        <v>1303098.73</v>
      </c>
      <c r="K165" s="3">
        <v>4</v>
      </c>
      <c r="L165" s="3">
        <v>10.4</v>
      </c>
      <c r="M165" s="3" t="s">
        <v>36</v>
      </c>
      <c r="N165" s="3" t="s">
        <v>22</v>
      </c>
    </row>
    <row r="166" spans="1:14" x14ac:dyDescent="0.25">
      <c r="A166" s="2" t="s">
        <v>562</v>
      </c>
      <c r="B166" s="2" t="s">
        <v>563</v>
      </c>
      <c r="C166" s="2" t="s">
        <v>39</v>
      </c>
      <c r="D166" s="2" t="s">
        <v>74</v>
      </c>
      <c r="E166" s="2" t="s">
        <v>27</v>
      </c>
      <c r="F166" s="2">
        <v>43</v>
      </c>
      <c r="G166" s="2" t="s">
        <v>564</v>
      </c>
      <c r="H166" s="2"/>
      <c r="I166" s="2" t="s">
        <v>20</v>
      </c>
      <c r="J166" s="4"/>
      <c r="K166" s="2">
        <v>1</v>
      </c>
      <c r="L166" s="2">
        <v>0.4</v>
      </c>
      <c r="M166" s="2" t="s">
        <v>42</v>
      </c>
      <c r="N166" s="2" t="s">
        <v>22</v>
      </c>
    </row>
    <row r="167" spans="1:14" x14ac:dyDescent="0.25">
      <c r="A167" s="3" t="s">
        <v>565</v>
      </c>
      <c r="B167" s="3" t="s">
        <v>227</v>
      </c>
      <c r="C167" s="3" t="s">
        <v>79</v>
      </c>
      <c r="D167" s="3" t="s">
        <v>74</v>
      </c>
      <c r="E167" s="3" t="s">
        <v>18</v>
      </c>
      <c r="F167" s="3">
        <v>58</v>
      </c>
      <c r="G167" s="3" t="s">
        <v>566</v>
      </c>
      <c r="H167" s="3"/>
      <c r="I167" s="3" t="s">
        <v>20</v>
      </c>
      <c r="J167" s="3">
        <v>542393.42000000004</v>
      </c>
      <c r="K167" s="3">
        <v>5</v>
      </c>
      <c r="L167" s="3">
        <v>17.600000000000001</v>
      </c>
      <c r="M167" s="3" t="s">
        <v>71</v>
      </c>
      <c r="N167" s="3" t="s">
        <v>22</v>
      </c>
    </row>
    <row r="168" spans="1:14" x14ac:dyDescent="0.25">
      <c r="A168" s="2" t="s">
        <v>567</v>
      </c>
      <c r="B168" s="2" t="s">
        <v>207</v>
      </c>
      <c r="C168" s="2" t="s">
        <v>16</v>
      </c>
      <c r="D168" s="2" t="s">
        <v>17</v>
      </c>
      <c r="E168" s="2" t="s">
        <v>18</v>
      </c>
      <c r="F168" s="2">
        <v>44</v>
      </c>
      <c r="G168" s="2" t="s">
        <v>527</v>
      </c>
      <c r="H168" s="2" t="s">
        <v>568</v>
      </c>
      <c r="I168" s="2" t="s">
        <v>30</v>
      </c>
      <c r="J168" s="2">
        <v>275787.01</v>
      </c>
      <c r="K168" s="2">
        <v>1</v>
      </c>
      <c r="L168" s="2">
        <v>3.3</v>
      </c>
      <c r="M168" s="2" t="s">
        <v>36</v>
      </c>
      <c r="N168" s="2" t="s">
        <v>31</v>
      </c>
    </row>
    <row r="169" spans="1:14" x14ac:dyDescent="0.25">
      <c r="A169" s="3" t="s">
        <v>569</v>
      </c>
      <c r="B169" s="3" t="s">
        <v>570</v>
      </c>
      <c r="C169" s="3" t="s">
        <v>65</v>
      </c>
      <c r="D169" s="3" t="s">
        <v>51</v>
      </c>
      <c r="E169" s="4" t="s">
        <v>319</v>
      </c>
      <c r="F169" s="3">
        <v>32</v>
      </c>
      <c r="G169" s="3" t="s">
        <v>571</v>
      </c>
      <c r="H169" s="3" t="s">
        <v>568</v>
      </c>
      <c r="I169" s="3" t="s">
        <v>59</v>
      </c>
      <c r="J169" s="3">
        <v>902726.8</v>
      </c>
      <c r="K169" s="3">
        <v>5</v>
      </c>
      <c r="L169" s="3">
        <v>10.6</v>
      </c>
      <c r="M169" s="3" t="s">
        <v>21</v>
      </c>
      <c r="N169" s="3" t="s">
        <v>31</v>
      </c>
    </row>
    <row r="170" spans="1:14" x14ac:dyDescent="0.25">
      <c r="A170" s="2" t="s">
        <v>572</v>
      </c>
      <c r="B170" s="2" t="s">
        <v>493</v>
      </c>
      <c r="C170" s="2" t="s">
        <v>45</v>
      </c>
      <c r="D170" s="2" t="s">
        <v>51</v>
      </c>
      <c r="E170" s="2" t="s">
        <v>27</v>
      </c>
      <c r="F170" s="2">
        <v>41</v>
      </c>
      <c r="G170" s="2" t="s">
        <v>573</v>
      </c>
      <c r="H170" s="2"/>
      <c r="I170" s="2" t="s">
        <v>20</v>
      </c>
      <c r="J170" s="2">
        <v>260654.47</v>
      </c>
      <c r="K170" s="2">
        <v>4</v>
      </c>
      <c r="L170" s="2">
        <v>9.3000000000000007</v>
      </c>
      <c r="M170" s="2" t="s">
        <v>47</v>
      </c>
      <c r="N170" s="2" t="s">
        <v>22</v>
      </c>
    </row>
    <row r="171" spans="1:14" x14ac:dyDescent="0.25">
      <c r="A171" s="3" t="s">
        <v>574</v>
      </c>
      <c r="B171" s="3" t="s">
        <v>575</v>
      </c>
      <c r="C171" s="3" t="s">
        <v>112</v>
      </c>
      <c r="D171" s="3" t="s">
        <v>17</v>
      </c>
      <c r="E171" s="3" t="s">
        <v>18</v>
      </c>
      <c r="F171" s="3">
        <v>52</v>
      </c>
      <c r="G171" s="4" t="s">
        <v>576</v>
      </c>
      <c r="H171" s="4"/>
      <c r="I171" s="3" t="s">
        <v>20</v>
      </c>
      <c r="J171" s="3">
        <v>386801.86</v>
      </c>
      <c r="K171" s="3">
        <v>3</v>
      </c>
      <c r="L171" s="3">
        <v>14.3</v>
      </c>
      <c r="M171" s="3" t="s">
        <v>42</v>
      </c>
      <c r="N171" s="3" t="s">
        <v>22</v>
      </c>
    </row>
    <row r="172" spans="1:14" x14ac:dyDescent="0.25">
      <c r="A172" s="2" t="s">
        <v>577</v>
      </c>
      <c r="B172" s="2" t="s">
        <v>578</v>
      </c>
      <c r="C172" s="2" t="s">
        <v>65</v>
      </c>
      <c r="D172" s="2" t="s">
        <v>74</v>
      </c>
      <c r="E172" s="2" t="s">
        <v>18</v>
      </c>
      <c r="F172" s="2">
        <v>29</v>
      </c>
      <c r="G172" s="2" t="s">
        <v>579</v>
      </c>
      <c r="H172" s="2"/>
      <c r="I172" s="2" t="s">
        <v>20</v>
      </c>
      <c r="J172" s="2">
        <v>640396.64</v>
      </c>
      <c r="K172" s="2">
        <v>3</v>
      </c>
      <c r="L172" s="2">
        <v>17.600000000000001</v>
      </c>
      <c r="M172" s="4" t="s">
        <v>530</v>
      </c>
      <c r="N172" s="2" t="s">
        <v>22</v>
      </c>
    </row>
    <row r="173" spans="1:14" x14ac:dyDescent="0.25">
      <c r="A173" s="3" t="s">
        <v>580</v>
      </c>
      <c r="B173" s="3" t="s">
        <v>581</v>
      </c>
      <c r="C173" s="3" t="s">
        <v>16</v>
      </c>
      <c r="D173" s="3" t="s">
        <v>51</v>
      </c>
      <c r="E173" s="3" t="s">
        <v>27</v>
      </c>
      <c r="F173" s="3">
        <v>58</v>
      </c>
      <c r="G173" s="3" t="s">
        <v>582</v>
      </c>
      <c r="H173" s="3"/>
      <c r="I173" s="3" t="s">
        <v>20</v>
      </c>
      <c r="J173" s="3">
        <v>250118.1</v>
      </c>
      <c r="K173" s="3">
        <v>2</v>
      </c>
      <c r="L173" s="3">
        <v>4.2</v>
      </c>
      <c r="M173" s="3" t="s">
        <v>21</v>
      </c>
      <c r="N173" s="3" t="s">
        <v>22</v>
      </c>
    </row>
    <row r="174" spans="1:14" x14ac:dyDescent="0.25">
      <c r="A174" s="2" t="s">
        <v>583</v>
      </c>
      <c r="B174" s="2" t="s">
        <v>584</v>
      </c>
      <c r="C174" s="2" t="s">
        <v>79</v>
      </c>
      <c r="D174" s="2" t="s">
        <v>80</v>
      </c>
      <c r="E174" s="2" t="s">
        <v>27</v>
      </c>
      <c r="F174" s="2">
        <v>32</v>
      </c>
      <c r="G174" s="2" t="s">
        <v>466</v>
      </c>
      <c r="H174" s="2" t="s">
        <v>585</v>
      </c>
      <c r="I174" s="2" t="s">
        <v>30</v>
      </c>
      <c r="J174" s="2">
        <v>552212.23</v>
      </c>
      <c r="K174" s="2">
        <v>2</v>
      </c>
      <c r="L174" s="2">
        <v>17.899999999999999</v>
      </c>
      <c r="M174" s="2" t="s">
        <v>36</v>
      </c>
      <c r="N174" s="2" t="s">
        <v>31</v>
      </c>
    </row>
    <row r="175" spans="1:14" x14ac:dyDescent="0.25">
      <c r="A175" s="3" t="s">
        <v>586</v>
      </c>
      <c r="B175" s="3" t="s">
        <v>386</v>
      </c>
      <c r="C175" s="3" t="s">
        <v>39</v>
      </c>
      <c r="D175" s="3" t="s">
        <v>74</v>
      </c>
      <c r="E175" s="3" t="s">
        <v>18</v>
      </c>
      <c r="F175" s="3">
        <v>50</v>
      </c>
      <c r="G175" s="3" t="s">
        <v>587</v>
      </c>
      <c r="H175" s="3" t="s">
        <v>588</v>
      </c>
      <c r="I175" s="3" t="s">
        <v>30</v>
      </c>
      <c r="J175" s="3">
        <v>343169.82</v>
      </c>
      <c r="K175" s="3">
        <v>5</v>
      </c>
      <c r="L175" s="3">
        <v>4.7</v>
      </c>
      <c r="M175" s="3" t="s">
        <v>47</v>
      </c>
      <c r="N175" s="3" t="s">
        <v>31</v>
      </c>
    </row>
    <row r="176" spans="1:14" x14ac:dyDescent="0.25">
      <c r="A176" s="2" t="s">
        <v>589</v>
      </c>
      <c r="B176" s="2" t="s">
        <v>95</v>
      </c>
      <c r="C176" s="2" t="s">
        <v>65</v>
      </c>
      <c r="D176" s="2" t="s">
        <v>40</v>
      </c>
      <c r="E176" s="4" t="s">
        <v>590</v>
      </c>
      <c r="F176" s="2">
        <v>46</v>
      </c>
      <c r="G176" s="2" t="s">
        <v>591</v>
      </c>
      <c r="H176" s="2" t="s">
        <v>592</v>
      </c>
      <c r="I176" s="2" t="s">
        <v>59</v>
      </c>
      <c r="J176" s="2">
        <v>883763.22</v>
      </c>
      <c r="K176" s="2">
        <v>3</v>
      </c>
      <c r="L176" s="2">
        <v>9.1</v>
      </c>
      <c r="M176" s="2" t="s">
        <v>36</v>
      </c>
      <c r="N176" s="2" t="s">
        <v>31</v>
      </c>
    </row>
    <row r="177" spans="1:14" x14ac:dyDescent="0.25">
      <c r="A177" s="3" t="s">
        <v>593</v>
      </c>
      <c r="B177" s="3" t="s">
        <v>158</v>
      </c>
      <c r="C177" s="3" t="s">
        <v>45</v>
      </c>
      <c r="D177" s="3" t="s">
        <v>40</v>
      </c>
      <c r="E177" s="3" t="s">
        <v>18</v>
      </c>
      <c r="F177" s="3">
        <v>54</v>
      </c>
      <c r="G177" s="3" t="s">
        <v>594</v>
      </c>
      <c r="H177" s="3" t="s">
        <v>595</v>
      </c>
      <c r="I177" s="3" t="s">
        <v>30</v>
      </c>
      <c r="J177" s="3">
        <v>663784.18999999994</v>
      </c>
      <c r="K177" s="3">
        <v>2</v>
      </c>
      <c r="L177" s="3">
        <v>5.3</v>
      </c>
      <c r="M177" s="3" t="s">
        <v>42</v>
      </c>
      <c r="N177" s="4"/>
    </row>
    <row r="178" spans="1:14" x14ac:dyDescent="0.25">
      <c r="A178" s="2" t="s">
        <v>596</v>
      </c>
      <c r="B178" s="2" t="s">
        <v>597</v>
      </c>
      <c r="C178" s="2" t="s">
        <v>45</v>
      </c>
      <c r="D178" s="2" t="s">
        <v>96</v>
      </c>
      <c r="E178" s="2" t="s">
        <v>27</v>
      </c>
      <c r="F178" s="2">
        <v>38</v>
      </c>
      <c r="G178" s="2" t="s">
        <v>598</v>
      </c>
      <c r="H178" s="2"/>
      <c r="I178" s="2" t="s">
        <v>20</v>
      </c>
      <c r="J178" s="2">
        <v>127669.58</v>
      </c>
      <c r="K178" s="2">
        <v>5</v>
      </c>
      <c r="L178" s="2">
        <v>3</v>
      </c>
      <c r="M178" s="2" t="s">
        <v>21</v>
      </c>
      <c r="N178" s="2" t="s">
        <v>22</v>
      </c>
    </row>
    <row r="179" spans="1:14" x14ac:dyDescent="0.25">
      <c r="A179" s="3" t="s">
        <v>599</v>
      </c>
      <c r="B179" s="3" t="s">
        <v>259</v>
      </c>
      <c r="C179" s="3" t="s">
        <v>25</v>
      </c>
      <c r="D179" s="3" t="s">
        <v>40</v>
      </c>
      <c r="E179" s="3" t="s">
        <v>18</v>
      </c>
      <c r="F179" s="3">
        <v>30</v>
      </c>
      <c r="G179" s="3" t="s">
        <v>600</v>
      </c>
      <c r="H179" s="3"/>
      <c r="I179" s="3" t="s">
        <v>20</v>
      </c>
      <c r="J179" s="3">
        <v>294510.8</v>
      </c>
      <c r="K179" s="3">
        <v>3</v>
      </c>
      <c r="L179" s="3">
        <v>6.3</v>
      </c>
      <c r="M179" s="3" t="s">
        <v>42</v>
      </c>
      <c r="N179" s="3" t="s">
        <v>22</v>
      </c>
    </row>
    <row r="180" spans="1:14" x14ac:dyDescent="0.25">
      <c r="A180" s="2" t="s">
        <v>601</v>
      </c>
      <c r="B180" s="2" t="s">
        <v>163</v>
      </c>
      <c r="C180" s="2" t="s">
        <v>50</v>
      </c>
      <c r="D180" s="2" t="s">
        <v>26</v>
      </c>
      <c r="E180" s="2" t="s">
        <v>18</v>
      </c>
      <c r="F180" s="2">
        <v>56</v>
      </c>
      <c r="G180" s="2" t="s">
        <v>602</v>
      </c>
      <c r="H180" s="2" t="s">
        <v>603</v>
      </c>
      <c r="I180" s="2" t="s">
        <v>30</v>
      </c>
      <c r="J180" s="2">
        <v>261950.31</v>
      </c>
      <c r="K180" s="2">
        <v>2</v>
      </c>
      <c r="L180" s="2">
        <v>14.9</v>
      </c>
      <c r="M180" s="2" t="s">
        <v>36</v>
      </c>
      <c r="N180" s="2" t="s">
        <v>31</v>
      </c>
    </row>
    <row r="181" spans="1:14" x14ac:dyDescent="0.25">
      <c r="A181" s="3" t="s">
        <v>604</v>
      </c>
      <c r="B181" s="3" t="s">
        <v>605</v>
      </c>
      <c r="C181" s="3" t="s">
        <v>50</v>
      </c>
      <c r="D181" s="3" t="s">
        <v>40</v>
      </c>
      <c r="E181" s="3" t="s">
        <v>27</v>
      </c>
      <c r="F181" s="3">
        <v>42</v>
      </c>
      <c r="G181" s="3" t="s">
        <v>606</v>
      </c>
      <c r="H181" s="3"/>
      <c r="I181" s="3" t="s">
        <v>20</v>
      </c>
      <c r="J181" s="4"/>
      <c r="K181" s="4">
        <v>10</v>
      </c>
      <c r="L181" s="4">
        <v>-4.2</v>
      </c>
      <c r="M181" s="4" t="s">
        <v>166</v>
      </c>
      <c r="N181" s="3" t="s">
        <v>22</v>
      </c>
    </row>
    <row r="182" spans="1:14" x14ac:dyDescent="0.25">
      <c r="A182" s="2" t="s">
        <v>607</v>
      </c>
      <c r="B182" s="2" t="s">
        <v>608</v>
      </c>
      <c r="C182" s="2" t="s">
        <v>39</v>
      </c>
      <c r="D182" s="2" t="s">
        <v>51</v>
      </c>
      <c r="E182" s="2" t="s">
        <v>18</v>
      </c>
      <c r="F182" s="2">
        <v>33</v>
      </c>
      <c r="G182" s="2" t="s">
        <v>609</v>
      </c>
      <c r="H182" s="2" t="s">
        <v>610</v>
      </c>
      <c r="I182" s="2" t="s">
        <v>59</v>
      </c>
      <c r="J182" s="2">
        <v>788154.05</v>
      </c>
      <c r="K182" s="2">
        <v>4</v>
      </c>
      <c r="L182" s="2">
        <v>11</v>
      </c>
      <c r="M182" s="2" t="s">
        <v>71</v>
      </c>
      <c r="N182" s="2" t="s">
        <v>31</v>
      </c>
    </row>
    <row r="183" spans="1:14" x14ac:dyDescent="0.25">
      <c r="A183" s="3" t="s">
        <v>611</v>
      </c>
      <c r="B183" s="3" t="s">
        <v>183</v>
      </c>
      <c r="C183" s="3" t="s">
        <v>65</v>
      </c>
      <c r="D183" s="3" t="s">
        <v>96</v>
      </c>
      <c r="E183" s="4" t="s">
        <v>56</v>
      </c>
      <c r="F183" s="3">
        <v>36</v>
      </c>
      <c r="G183" s="3" t="s">
        <v>612</v>
      </c>
      <c r="H183" s="3" t="s">
        <v>613</v>
      </c>
      <c r="I183" s="3" t="s">
        <v>59</v>
      </c>
      <c r="J183" s="3">
        <v>1008111.17</v>
      </c>
      <c r="K183" s="3">
        <v>2</v>
      </c>
      <c r="L183" s="3">
        <v>2.2000000000000002</v>
      </c>
      <c r="M183" s="3" t="s">
        <v>71</v>
      </c>
      <c r="N183" s="3" t="s">
        <v>31</v>
      </c>
    </row>
    <row r="184" spans="1:14" x14ac:dyDescent="0.25">
      <c r="A184" s="2" t="s">
        <v>614</v>
      </c>
      <c r="B184" s="2" t="s">
        <v>615</v>
      </c>
      <c r="C184" s="2" t="s">
        <v>79</v>
      </c>
      <c r="D184" s="2" t="s">
        <v>80</v>
      </c>
      <c r="E184" s="2" t="s">
        <v>27</v>
      </c>
      <c r="F184" s="2">
        <v>37</v>
      </c>
      <c r="G184" s="2" t="s">
        <v>616</v>
      </c>
      <c r="H184" s="2" t="s">
        <v>617</v>
      </c>
      <c r="I184" s="2" t="s">
        <v>59</v>
      </c>
      <c r="J184" s="2">
        <v>956987.82</v>
      </c>
      <c r="K184" s="2">
        <v>4</v>
      </c>
      <c r="L184" s="2">
        <v>9.6</v>
      </c>
      <c r="M184" s="2" t="s">
        <v>47</v>
      </c>
      <c r="N184" s="2" t="s">
        <v>31</v>
      </c>
    </row>
    <row r="185" spans="1:14" x14ac:dyDescent="0.25">
      <c r="A185" s="3" t="s">
        <v>618</v>
      </c>
      <c r="B185" s="3" t="s">
        <v>619</v>
      </c>
      <c r="C185" s="3" t="s">
        <v>112</v>
      </c>
      <c r="D185" s="3" t="s">
        <v>26</v>
      </c>
      <c r="E185" s="3" t="s">
        <v>27</v>
      </c>
      <c r="F185" s="3">
        <v>49</v>
      </c>
      <c r="G185" s="3" t="s">
        <v>620</v>
      </c>
      <c r="H185" s="3" t="s">
        <v>621</v>
      </c>
      <c r="I185" s="3" t="s">
        <v>59</v>
      </c>
      <c r="J185" s="3">
        <v>94409.81</v>
      </c>
      <c r="K185" s="3">
        <v>1</v>
      </c>
      <c r="L185" s="3">
        <v>7.8</v>
      </c>
      <c r="M185" s="3" t="s">
        <v>36</v>
      </c>
      <c r="N185" s="3" t="s">
        <v>31</v>
      </c>
    </row>
    <row r="186" spans="1:14" x14ac:dyDescent="0.25">
      <c r="A186" s="2" t="s">
        <v>622</v>
      </c>
      <c r="B186" s="2" t="s">
        <v>623</v>
      </c>
      <c r="C186" s="2" t="s">
        <v>39</v>
      </c>
      <c r="D186" s="2" t="s">
        <v>96</v>
      </c>
      <c r="E186" s="2" t="s">
        <v>18</v>
      </c>
      <c r="F186" s="2">
        <v>41</v>
      </c>
      <c r="G186" s="2" t="s">
        <v>624</v>
      </c>
      <c r="H186" s="2" t="s">
        <v>625</v>
      </c>
      <c r="I186" s="2" t="s">
        <v>30</v>
      </c>
      <c r="J186" s="2">
        <v>559171.5</v>
      </c>
      <c r="K186" s="2">
        <v>3</v>
      </c>
      <c r="L186" s="2">
        <v>15.9</v>
      </c>
      <c r="M186" s="2" t="s">
        <v>47</v>
      </c>
      <c r="N186" s="2" t="s">
        <v>31</v>
      </c>
    </row>
    <row r="187" spans="1:14" x14ac:dyDescent="0.25">
      <c r="A187" s="3" t="s">
        <v>626</v>
      </c>
      <c r="B187" s="3" t="s">
        <v>357</v>
      </c>
      <c r="C187" s="3" t="s">
        <v>39</v>
      </c>
      <c r="D187" s="3" t="s">
        <v>96</v>
      </c>
      <c r="E187" s="3" t="s">
        <v>27</v>
      </c>
      <c r="F187" s="3">
        <v>38</v>
      </c>
      <c r="G187" s="3" t="s">
        <v>627</v>
      </c>
      <c r="H187" s="3"/>
      <c r="I187" s="3" t="s">
        <v>20</v>
      </c>
      <c r="J187" s="3">
        <v>432866.25</v>
      </c>
      <c r="K187" s="3">
        <v>4</v>
      </c>
      <c r="L187" s="3">
        <v>3.6</v>
      </c>
      <c r="M187" s="3" t="s">
        <v>47</v>
      </c>
      <c r="N187" s="3" t="s">
        <v>22</v>
      </c>
    </row>
    <row r="188" spans="1:14" x14ac:dyDescent="0.25">
      <c r="A188" s="2" t="s">
        <v>628</v>
      </c>
      <c r="B188" s="2" t="s">
        <v>629</v>
      </c>
      <c r="C188" s="2" t="s">
        <v>45</v>
      </c>
      <c r="D188" s="2" t="s">
        <v>40</v>
      </c>
      <c r="E188" s="2" t="s">
        <v>18</v>
      </c>
      <c r="F188" s="2">
        <v>39</v>
      </c>
      <c r="G188" s="4" t="s">
        <v>630</v>
      </c>
      <c r="H188" s="4"/>
      <c r="I188" s="2" t="s">
        <v>20</v>
      </c>
      <c r="J188" s="2">
        <v>1203587.8999999999</v>
      </c>
      <c r="K188" s="2">
        <v>3</v>
      </c>
      <c r="L188" s="2">
        <v>19.8</v>
      </c>
      <c r="M188" s="2" t="s">
        <v>21</v>
      </c>
      <c r="N188" s="2" t="s">
        <v>22</v>
      </c>
    </row>
    <row r="189" spans="1:14" x14ac:dyDescent="0.25">
      <c r="A189" s="3" t="s">
        <v>631</v>
      </c>
      <c r="B189" s="3" t="s">
        <v>265</v>
      </c>
      <c r="C189" s="3" t="s">
        <v>65</v>
      </c>
      <c r="D189" s="3" t="s">
        <v>80</v>
      </c>
      <c r="E189" s="3" t="s">
        <v>27</v>
      </c>
      <c r="F189" s="3">
        <v>28</v>
      </c>
      <c r="G189" s="3" t="s">
        <v>632</v>
      </c>
      <c r="H189" s="3"/>
      <c r="I189" s="3" t="s">
        <v>20</v>
      </c>
      <c r="J189" s="3">
        <v>409544.3</v>
      </c>
      <c r="K189" s="3">
        <v>4</v>
      </c>
      <c r="L189" s="3">
        <v>13.4</v>
      </c>
      <c r="M189" s="3" t="s">
        <v>21</v>
      </c>
      <c r="N189" s="3" t="s">
        <v>22</v>
      </c>
    </row>
    <row r="190" spans="1:14" x14ac:dyDescent="0.25">
      <c r="A190" s="2" t="s">
        <v>633</v>
      </c>
      <c r="B190" s="2" t="s">
        <v>634</v>
      </c>
      <c r="C190" s="2" t="s">
        <v>50</v>
      </c>
      <c r="D190" s="2" t="s">
        <v>51</v>
      </c>
      <c r="E190" s="4" t="s">
        <v>635</v>
      </c>
      <c r="F190" s="2">
        <v>49</v>
      </c>
      <c r="G190" s="2" t="s">
        <v>636</v>
      </c>
      <c r="H190" s="2"/>
      <c r="I190" s="2" t="s">
        <v>20</v>
      </c>
      <c r="J190" s="2">
        <v>259844.34</v>
      </c>
      <c r="K190" s="2">
        <v>3</v>
      </c>
      <c r="L190" s="2">
        <v>12</v>
      </c>
      <c r="M190" s="4" t="s">
        <v>447</v>
      </c>
      <c r="N190" s="2" t="s">
        <v>22</v>
      </c>
    </row>
    <row r="191" spans="1:14" x14ac:dyDescent="0.25">
      <c r="A191" s="3" t="s">
        <v>637</v>
      </c>
      <c r="B191" s="3" t="s">
        <v>154</v>
      </c>
      <c r="C191" s="3" t="s">
        <v>25</v>
      </c>
      <c r="D191" s="3" t="s">
        <v>17</v>
      </c>
      <c r="E191" s="3" t="s">
        <v>18</v>
      </c>
      <c r="F191" s="3">
        <v>37</v>
      </c>
      <c r="G191" s="3" t="s">
        <v>638</v>
      </c>
      <c r="H191" s="3"/>
      <c r="I191" s="3" t="s">
        <v>20</v>
      </c>
      <c r="J191" s="3">
        <v>284649.82</v>
      </c>
      <c r="K191" s="3">
        <v>5</v>
      </c>
      <c r="L191" s="3">
        <v>9.1</v>
      </c>
      <c r="M191" s="3" t="s">
        <v>21</v>
      </c>
      <c r="N191" s="3" t="s">
        <v>22</v>
      </c>
    </row>
    <row r="192" spans="1:14" x14ac:dyDescent="0.25">
      <c r="A192" s="2" t="s">
        <v>639</v>
      </c>
      <c r="B192" s="2" t="s">
        <v>294</v>
      </c>
      <c r="C192" s="2" t="s">
        <v>112</v>
      </c>
      <c r="D192" s="2" t="s">
        <v>74</v>
      </c>
      <c r="E192" s="2" t="s">
        <v>27</v>
      </c>
      <c r="F192" s="2">
        <v>53</v>
      </c>
      <c r="G192" s="2" t="s">
        <v>640</v>
      </c>
      <c r="H192" s="2"/>
      <c r="I192" s="2" t="s">
        <v>20</v>
      </c>
      <c r="J192" s="2">
        <v>448798.39</v>
      </c>
      <c r="K192" s="2">
        <v>5</v>
      </c>
      <c r="L192" s="2">
        <v>11.4</v>
      </c>
      <c r="M192" s="2" t="s">
        <v>47</v>
      </c>
      <c r="N192" s="2" t="s">
        <v>22</v>
      </c>
    </row>
    <row r="193" spans="1:14" x14ac:dyDescent="0.25">
      <c r="A193" s="3" t="s">
        <v>641</v>
      </c>
      <c r="B193" s="3" t="s">
        <v>516</v>
      </c>
      <c r="C193" s="3" t="s">
        <v>25</v>
      </c>
      <c r="D193" s="3" t="s">
        <v>74</v>
      </c>
      <c r="E193" s="3" t="s">
        <v>27</v>
      </c>
      <c r="F193" s="3">
        <v>35</v>
      </c>
      <c r="G193" s="3" t="s">
        <v>551</v>
      </c>
      <c r="H193" s="3"/>
      <c r="I193" s="3" t="s">
        <v>20</v>
      </c>
      <c r="J193" s="3">
        <v>82861.929999999993</v>
      </c>
      <c r="K193" s="3">
        <v>2</v>
      </c>
      <c r="L193" s="3">
        <v>10.1</v>
      </c>
      <c r="M193" s="3" t="s">
        <v>71</v>
      </c>
      <c r="N193" s="3" t="s">
        <v>22</v>
      </c>
    </row>
    <row r="194" spans="1:14" x14ac:dyDescent="0.25">
      <c r="A194" s="2" t="s">
        <v>642</v>
      </c>
      <c r="B194" s="2" t="s">
        <v>252</v>
      </c>
      <c r="C194" s="2" t="s">
        <v>39</v>
      </c>
      <c r="D194" s="2" t="s">
        <v>26</v>
      </c>
      <c r="E194" s="2" t="s">
        <v>27</v>
      </c>
      <c r="F194" s="2">
        <v>33</v>
      </c>
      <c r="G194" s="2" t="s">
        <v>643</v>
      </c>
      <c r="H194" s="2"/>
      <c r="I194" s="2" t="s">
        <v>20</v>
      </c>
      <c r="J194" s="2">
        <v>934055.72</v>
      </c>
      <c r="K194" s="2">
        <v>4</v>
      </c>
      <c r="L194" s="2">
        <v>1.5</v>
      </c>
      <c r="M194" s="2" t="s">
        <v>47</v>
      </c>
      <c r="N194" s="2" t="s">
        <v>22</v>
      </c>
    </row>
    <row r="195" spans="1:14" x14ac:dyDescent="0.25">
      <c r="A195" s="3" t="s">
        <v>644</v>
      </c>
      <c r="B195" s="3" t="s">
        <v>187</v>
      </c>
      <c r="C195" s="3" t="s">
        <v>50</v>
      </c>
      <c r="D195" s="3" t="s">
        <v>96</v>
      </c>
      <c r="E195" s="3" t="s">
        <v>27</v>
      </c>
      <c r="F195" s="3">
        <v>54</v>
      </c>
      <c r="G195" s="3" t="s">
        <v>645</v>
      </c>
      <c r="H195" s="3"/>
      <c r="I195" s="3" t="s">
        <v>20</v>
      </c>
      <c r="J195" s="3">
        <v>1402366.71</v>
      </c>
      <c r="K195" s="3">
        <v>2</v>
      </c>
      <c r="L195" s="3">
        <v>1.7</v>
      </c>
      <c r="M195" s="3" t="s">
        <v>71</v>
      </c>
      <c r="N195" s="3" t="s">
        <v>22</v>
      </c>
    </row>
    <row r="196" spans="1:14" x14ac:dyDescent="0.25">
      <c r="A196" s="2" t="s">
        <v>646</v>
      </c>
      <c r="B196" s="2" t="s">
        <v>575</v>
      </c>
      <c r="C196" s="2" t="s">
        <v>112</v>
      </c>
      <c r="D196" s="2" t="s">
        <v>26</v>
      </c>
      <c r="E196" s="2" t="s">
        <v>27</v>
      </c>
      <c r="F196" s="2">
        <v>41</v>
      </c>
      <c r="G196" s="2" t="s">
        <v>647</v>
      </c>
      <c r="H196" s="2"/>
      <c r="I196" s="2" t="s">
        <v>20</v>
      </c>
      <c r="J196" s="4"/>
      <c r="K196" s="2">
        <v>5</v>
      </c>
      <c r="L196" s="2">
        <v>6.7</v>
      </c>
      <c r="M196" s="2" t="s">
        <v>71</v>
      </c>
      <c r="N196" s="2" t="s">
        <v>22</v>
      </c>
    </row>
    <row r="197" spans="1:14" x14ac:dyDescent="0.25">
      <c r="A197" s="3" t="s">
        <v>648</v>
      </c>
      <c r="B197" s="3" t="s">
        <v>649</v>
      </c>
      <c r="C197" s="3" t="s">
        <v>25</v>
      </c>
      <c r="D197" s="3" t="s">
        <v>40</v>
      </c>
      <c r="E197" s="4" t="s">
        <v>159</v>
      </c>
      <c r="F197" s="3">
        <v>52</v>
      </c>
      <c r="G197" s="3" t="s">
        <v>650</v>
      </c>
      <c r="H197" s="3"/>
      <c r="I197" s="3" t="s">
        <v>20</v>
      </c>
      <c r="J197" s="3">
        <v>1323071.4099999999</v>
      </c>
      <c r="K197" s="3">
        <v>2</v>
      </c>
      <c r="L197" s="3">
        <v>13.9</v>
      </c>
      <c r="M197" s="3" t="s">
        <v>36</v>
      </c>
      <c r="N197" s="3" t="s">
        <v>22</v>
      </c>
    </row>
    <row r="198" spans="1:14" x14ac:dyDescent="0.25">
      <c r="A198" s="2" t="s">
        <v>651</v>
      </c>
      <c r="B198" s="2" t="s">
        <v>652</v>
      </c>
      <c r="C198" s="2" t="s">
        <v>45</v>
      </c>
      <c r="D198" s="2" t="s">
        <v>87</v>
      </c>
      <c r="E198" s="2" t="s">
        <v>27</v>
      </c>
      <c r="F198" s="2">
        <v>47</v>
      </c>
      <c r="G198" s="2" t="s">
        <v>653</v>
      </c>
      <c r="H198" s="2" t="s">
        <v>654</v>
      </c>
      <c r="I198" s="2" t="s">
        <v>30</v>
      </c>
      <c r="J198" s="2">
        <v>416310.05</v>
      </c>
      <c r="K198" s="2">
        <v>3</v>
      </c>
      <c r="L198" s="2">
        <v>7.1</v>
      </c>
      <c r="M198" s="2" t="s">
        <v>36</v>
      </c>
      <c r="N198" s="2" t="s">
        <v>31</v>
      </c>
    </row>
    <row r="199" spans="1:14" x14ac:dyDescent="0.25">
      <c r="A199" s="3" t="s">
        <v>655</v>
      </c>
      <c r="B199" s="3" t="s">
        <v>308</v>
      </c>
      <c r="C199" s="3" t="s">
        <v>50</v>
      </c>
      <c r="D199" s="3" t="s">
        <v>40</v>
      </c>
      <c r="E199" s="3" t="s">
        <v>27</v>
      </c>
      <c r="F199" s="3">
        <v>58</v>
      </c>
      <c r="G199" s="3" t="s">
        <v>656</v>
      </c>
      <c r="H199" s="3" t="s">
        <v>657</v>
      </c>
      <c r="I199" s="3" t="s">
        <v>30</v>
      </c>
      <c r="J199" s="3">
        <v>569416.35</v>
      </c>
      <c r="K199" s="4">
        <v>0</v>
      </c>
      <c r="L199" s="3">
        <v>2.9</v>
      </c>
      <c r="M199" s="4" t="s">
        <v>42</v>
      </c>
      <c r="N199" s="4"/>
    </row>
    <row r="200" spans="1:14" x14ac:dyDescent="0.25">
      <c r="A200" s="2" t="s">
        <v>658</v>
      </c>
      <c r="B200" s="2" t="s">
        <v>328</v>
      </c>
      <c r="C200" s="2" t="s">
        <v>65</v>
      </c>
      <c r="D200" s="23" t="s">
        <v>80</v>
      </c>
      <c r="E200" s="2" t="s">
        <v>27</v>
      </c>
      <c r="F200" s="2">
        <v>56</v>
      </c>
      <c r="G200" s="2" t="s">
        <v>659</v>
      </c>
      <c r="H200" s="2" t="s">
        <v>660</v>
      </c>
      <c r="I200" s="2" t="s">
        <v>59</v>
      </c>
      <c r="J200" s="2">
        <v>307934.75</v>
      </c>
      <c r="K200" s="2">
        <v>5</v>
      </c>
      <c r="L200" s="2">
        <v>1</v>
      </c>
      <c r="M200" s="2" t="s">
        <v>21</v>
      </c>
      <c r="N200" s="2" t="s">
        <v>31</v>
      </c>
    </row>
    <row r="201" spans="1:14" x14ac:dyDescent="0.25">
      <c r="A201" s="3" t="s">
        <v>661</v>
      </c>
      <c r="B201" s="3" t="s">
        <v>449</v>
      </c>
      <c r="C201" s="3" t="s">
        <v>79</v>
      </c>
      <c r="D201" s="3" t="s">
        <v>26</v>
      </c>
      <c r="E201" s="3" t="s">
        <v>27</v>
      </c>
      <c r="F201" s="3">
        <v>25</v>
      </c>
      <c r="G201" s="3" t="s">
        <v>662</v>
      </c>
      <c r="H201" s="3" t="s">
        <v>663</v>
      </c>
      <c r="I201" s="3" t="s">
        <v>59</v>
      </c>
      <c r="J201" s="3">
        <v>978536.82</v>
      </c>
      <c r="K201" s="3">
        <v>5</v>
      </c>
      <c r="L201" s="3">
        <v>6.1</v>
      </c>
      <c r="M201" s="3" t="s">
        <v>36</v>
      </c>
      <c r="N201" s="3" t="s">
        <v>31</v>
      </c>
    </row>
    <row r="203" spans="1:14" x14ac:dyDescent="0.25">
      <c r="A203" s="5" t="s">
        <v>664</v>
      </c>
    </row>
    <row r="204" spans="1:14" x14ac:dyDescent="0.25">
      <c r="A204" s="6" t="s">
        <v>665</v>
      </c>
    </row>
  </sheetData>
  <autoFilter ref="A1:N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9A8F-29B4-4AA4-9D76-F1DA35845A07}">
  <dimension ref="A1:S201"/>
  <sheetViews>
    <sheetView topLeftCell="D1" workbookViewId="0">
      <selection activeCell="P14" sqref="P14"/>
    </sheetView>
  </sheetViews>
  <sheetFormatPr defaultRowHeight="15" x14ac:dyDescent="0.25"/>
  <cols>
    <col min="1" max="1" width="15" bestFit="1" customWidth="1"/>
    <col min="2" max="2" width="19.7109375" bestFit="1" customWidth="1"/>
    <col min="3" max="3" width="14" bestFit="1" customWidth="1"/>
    <col min="4" max="4" width="13.85546875" bestFit="1" customWidth="1"/>
    <col min="5" max="5" width="10" bestFit="1" customWidth="1"/>
    <col min="6" max="6" width="6.7109375" bestFit="1" customWidth="1"/>
    <col min="7" max="7" width="13.28515625" bestFit="1" customWidth="1"/>
    <col min="8" max="8" width="11.85546875" bestFit="1" customWidth="1"/>
    <col min="9" max="9" width="21.28515625" bestFit="1" customWidth="1"/>
    <col min="10" max="10" width="20.85546875" bestFit="1" customWidth="1"/>
    <col min="11" max="11" width="11.140625" bestFit="1" customWidth="1"/>
    <col min="12" max="12" width="19.140625" bestFit="1" customWidth="1"/>
    <col min="13" max="13" width="17.85546875" bestFit="1" customWidth="1"/>
    <col min="14" max="14" width="13.28515625" style="15" bestFit="1" customWidth="1"/>
    <col min="15" max="15" width="10.85546875" bestFit="1" customWidth="1"/>
    <col min="16" max="16" width="14.42578125" bestFit="1" customWidth="1"/>
    <col min="17" max="17" width="13.28515625" bestFit="1" customWidth="1"/>
    <col min="18" max="18" width="14.5703125" customWidth="1"/>
    <col min="19" max="19" width="11.85546875" bestFit="1" customWidth="1"/>
  </cols>
  <sheetData>
    <row r="1" spans="1:19" x14ac:dyDescent="0.25">
      <c r="A1" t="s">
        <v>0</v>
      </c>
      <c r="B1" t="s">
        <v>1</v>
      </c>
      <c r="C1" t="s">
        <v>2</v>
      </c>
      <c r="D1" t="s">
        <v>3</v>
      </c>
      <c r="E1" t="s">
        <v>4</v>
      </c>
      <c r="F1" t="s">
        <v>5</v>
      </c>
      <c r="G1" t="s">
        <v>6</v>
      </c>
      <c r="H1" t="s">
        <v>7</v>
      </c>
      <c r="I1" t="s">
        <v>8</v>
      </c>
      <c r="J1" t="s">
        <v>10</v>
      </c>
      <c r="K1" t="s">
        <v>707</v>
      </c>
      <c r="L1" t="s">
        <v>11</v>
      </c>
      <c r="M1" t="s">
        <v>12</v>
      </c>
      <c r="N1" s="15" t="s">
        <v>679</v>
      </c>
      <c r="O1" t="s">
        <v>13</v>
      </c>
      <c r="P1" t="s">
        <v>680</v>
      </c>
      <c r="Q1" t="s">
        <v>681</v>
      </c>
      <c r="R1" t="s">
        <v>682</v>
      </c>
      <c r="S1" t="s">
        <v>716</v>
      </c>
    </row>
    <row r="2" spans="1:19" x14ac:dyDescent="0.25">
      <c r="A2" t="s">
        <v>14</v>
      </c>
      <c r="B2" t="s">
        <v>15</v>
      </c>
      <c r="C2" t="s">
        <v>16</v>
      </c>
      <c r="D2" t="s">
        <v>17</v>
      </c>
      <c r="E2" t="s">
        <v>18</v>
      </c>
      <c r="F2">
        <v>29</v>
      </c>
      <c r="G2" s="10">
        <v>44065</v>
      </c>
      <c r="H2" s="10"/>
      <c r="I2" t="s">
        <v>20</v>
      </c>
      <c r="J2">
        <v>5</v>
      </c>
      <c r="L2">
        <v>4.8</v>
      </c>
      <c r="M2" t="s">
        <v>21</v>
      </c>
      <c r="N2" s="15">
        <v>872210.52</v>
      </c>
      <c r="O2" t="s">
        <v>22</v>
      </c>
      <c r="P2">
        <v>5.8</v>
      </c>
      <c r="Q2" t="s">
        <v>683</v>
      </c>
      <c r="R2" t="s">
        <v>684</v>
      </c>
      <c r="S2">
        <f>YEAR(Cleaned_data[[#This Row],[Date_Hired]])</f>
        <v>2020</v>
      </c>
    </row>
    <row r="3" spans="1:19" x14ac:dyDescent="0.25">
      <c r="A3" t="s">
        <v>23</v>
      </c>
      <c r="B3" t="s">
        <v>24</v>
      </c>
      <c r="C3" t="s">
        <v>25</v>
      </c>
      <c r="D3" t="s">
        <v>26</v>
      </c>
      <c r="E3" t="s">
        <v>27</v>
      </c>
      <c r="F3">
        <v>33</v>
      </c>
      <c r="G3" s="10">
        <v>45089</v>
      </c>
      <c r="H3" s="10">
        <v>46307</v>
      </c>
      <c r="I3" t="s">
        <v>30</v>
      </c>
      <c r="J3">
        <v>3</v>
      </c>
      <c r="L3">
        <v>2.2999999999999998</v>
      </c>
      <c r="M3" t="s">
        <v>21</v>
      </c>
      <c r="N3" s="15">
        <v>339681.12</v>
      </c>
      <c r="O3" t="s">
        <v>31</v>
      </c>
      <c r="P3">
        <v>3.3</v>
      </c>
      <c r="Q3" t="s">
        <v>685</v>
      </c>
      <c r="R3" t="s">
        <v>686</v>
      </c>
      <c r="S3">
        <f>YEAR(Cleaned_data[[#This Row],[Date_Hired]])</f>
        <v>2023</v>
      </c>
    </row>
    <row r="4" spans="1:19" x14ac:dyDescent="0.25">
      <c r="A4" t="s">
        <v>32</v>
      </c>
      <c r="B4" t="s">
        <v>33</v>
      </c>
      <c r="C4" t="s">
        <v>16</v>
      </c>
      <c r="D4" t="s">
        <v>17</v>
      </c>
      <c r="E4" t="s">
        <v>18</v>
      </c>
      <c r="F4">
        <v>26</v>
      </c>
      <c r="G4" s="10">
        <v>43632</v>
      </c>
      <c r="H4" s="10">
        <v>45239</v>
      </c>
      <c r="I4" t="s">
        <v>30</v>
      </c>
      <c r="J4">
        <v>5</v>
      </c>
      <c r="L4">
        <v>1.5</v>
      </c>
      <c r="M4" t="s">
        <v>36</v>
      </c>
      <c r="N4" s="15">
        <v>925355.42</v>
      </c>
      <c r="O4" t="s">
        <v>31</v>
      </c>
      <c r="P4">
        <v>4.4000000000000004</v>
      </c>
      <c r="Q4" t="s">
        <v>683</v>
      </c>
      <c r="R4" t="s">
        <v>684</v>
      </c>
      <c r="S4">
        <f>YEAR(Cleaned_data[[#This Row],[Date_Hired]])</f>
        <v>2019</v>
      </c>
    </row>
    <row r="5" spans="1:19" x14ac:dyDescent="0.25">
      <c r="A5" t="s">
        <v>37</v>
      </c>
      <c r="B5" t="s">
        <v>38</v>
      </c>
      <c r="C5" t="s">
        <v>39</v>
      </c>
      <c r="D5" t="s">
        <v>40</v>
      </c>
      <c r="E5" t="s">
        <v>18</v>
      </c>
      <c r="F5">
        <v>56</v>
      </c>
      <c r="G5" s="10">
        <v>43685</v>
      </c>
      <c r="H5" s="10"/>
      <c r="I5" t="s">
        <v>20</v>
      </c>
      <c r="J5">
        <v>5</v>
      </c>
      <c r="L5">
        <v>19.5</v>
      </c>
      <c r="M5" t="s">
        <v>42</v>
      </c>
      <c r="N5" s="15">
        <v>970438.15</v>
      </c>
      <c r="O5" t="s">
        <v>22</v>
      </c>
      <c r="P5">
        <v>6.8</v>
      </c>
      <c r="Q5" t="s">
        <v>687</v>
      </c>
      <c r="R5" t="s">
        <v>684</v>
      </c>
      <c r="S5">
        <f>YEAR(Cleaned_data[[#This Row],[Date_Hired]])</f>
        <v>2019</v>
      </c>
    </row>
    <row r="6" spans="1:19" x14ac:dyDescent="0.25">
      <c r="A6" t="s">
        <v>43</v>
      </c>
      <c r="B6" t="s">
        <v>44</v>
      </c>
      <c r="C6" t="s">
        <v>45</v>
      </c>
      <c r="D6" t="s">
        <v>17</v>
      </c>
      <c r="E6" t="s">
        <v>18</v>
      </c>
      <c r="F6">
        <v>58</v>
      </c>
      <c r="G6" s="10">
        <v>44434</v>
      </c>
      <c r="H6" s="10"/>
      <c r="I6" t="s">
        <v>20</v>
      </c>
      <c r="J6">
        <v>4</v>
      </c>
      <c r="L6">
        <v>0.3</v>
      </c>
      <c r="M6" t="s">
        <v>47</v>
      </c>
      <c r="N6" s="15">
        <v>276446.95</v>
      </c>
      <c r="O6" t="s">
        <v>22</v>
      </c>
      <c r="P6">
        <v>4.8</v>
      </c>
      <c r="Q6" t="s">
        <v>687</v>
      </c>
      <c r="R6" t="s">
        <v>688</v>
      </c>
      <c r="S6">
        <f>YEAR(Cleaned_data[[#This Row],[Date_Hired]])</f>
        <v>2021</v>
      </c>
    </row>
    <row r="7" spans="1:19" x14ac:dyDescent="0.25">
      <c r="A7" t="s">
        <v>48</v>
      </c>
      <c r="B7" t="s">
        <v>49</v>
      </c>
      <c r="C7" t="s">
        <v>50</v>
      </c>
      <c r="D7" t="s">
        <v>51</v>
      </c>
      <c r="E7" t="s">
        <v>27</v>
      </c>
      <c r="F7">
        <v>29</v>
      </c>
      <c r="G7" s="10">
        <v>43991</v>
      </c>
      <c r="H7" s="10">
        <v>45323</v>
      </c>
      <c r="I7" t="s">
        <v>30</v>
      </c>
      <c r="J7">
        <v>4</v>
      </c>
      <c r="L7">
        <v>16.5</v>
      </c>
      <c r="M7" t="s">
        <v>47</v>
      </c>
      <c r="N7" s="15">
        <v>159457.66</v>
      </c>
      <c r="O7" t="s">
        <v>31</v>
      </c>
      <c r="P7">
        <v>3.6</v>
      </c>
      <c r="Q7" t="s">
        <v>683</v>
      </c>
      <c r="R7" t="s">
        <v>688</v>
      </c>
      <c r="S7">
        <f>YEAR(Cleaned_data[[#This Row],[Date_Hired]])</f>
        <v>2020</v>
      </c>
    </row>
    <row r="8" spans="1:19" x14ac:dyDescent="0.25">
      <c r="A8" t="s">
        <v>54</v>
      </c>
      <c r="B8" t="s">
        <v>55</v>
      </c>
      <c r="C8" t="s">
        <v>39</v>
      </c>
      <c r="D8" t="s">
        <v>26</v>
      </c>
      <c r="E8" t="s">
        <v>27</v>
      </c>
      <c r="F8">
        <v>44</v>
      </c>
      <c r="G8" s="10">
        <v>45136</v>
      </c>
      <c r="H8" s="10">
        <v>46494</v>
      </c>
      <c r="I8" t="s">
        <v>59</v>
      </c>
      <c r="J8">
        <v>4</v>
      </c>
      <c r="L8">
        <v>2.9</v>
      </c>
      <c r="M8" t="s">
        <v>47</v>
      </c>
      <c r="N8" s="15">
        <v>168321.51</v>
      </c>
      <c r="O8" t="s">
        <v>31</v>
      </c>
      <c r="P8">
        <v>3.7</v>
      </c>
      <c r="Q8" t="s">
        <v>689</v>
      </c>
      <c r="R8" t="s">
        <v>688</v>
      </c>
      <c r="S8">
        <f>YEAR(Cleaned_data[[#This Row],[Date_Hired]])</f>
        <v>2023</v>
      </c>
    </row>
    <row r="9" spans="1:19" x14ac:dyDescent="0.25">
      <c r="A9" t="s">
        <v>60</v>
      </c>
      <c r="B9" t="s">
        <v>61</v>
      </c>
      <c r="C9" t="s">
        <v>39</v>
      </c>
      <c r="D9" t="s">
        <v>40</v>
      </c>
      <c r="E9" t="s">
        <v>18</v>
      </c>
      <c r="F9">
        <v>46</v>
      </c>
      <c r="G9" s="10">
        <v>44441</v>
      </c>
      <c r="H9" s="10"/>
      <c r="I9" t="s">
        <v>20</v>
      </c>
      <c r="J9">
        <v>2</v>
      </c>
      <c r="L9">
        <v>5.2</v>
      </c>
      <c r="M9" t="s">
        <v>47</v>
      </c>
      <c r="N9" s="15">
        <v>1294403.69</v>
      </c>
      <c r="O9" t="s">
        <v>22</v>
      </c>
      <c r="P9">
        <v>4.7</v>
      </c>
      <c r="Q9" t="s">
        <v>689</v>
      </c>
      <c r="R9" t="s">
        <v>690</v>
      </c>
      <c r="S9">
        <f>YEAR(Cleaned_data[[#This Row],[Date_Hired]])</f>
        <v>2021</v>
      </c>
    </row>
    <row r="10" spans="1:19" x14ac:dyDescent="0.25">
      <c r="A10" t="s">
        <v>63</v>
      </c>
      <c r="B10" t="s">
        <v>64</v>
      </c>
      <c r="C10" t="s">
        <v>65</v>
      </c>
      <c r="D10" t="s">
        <v>26</v>
      </c>
      <c r="E10" t="s">
        <v>18</v>
      </c>
      <c r="F10">
        <v>36</v>
      </c>
      <c r="G10" s="10">
        <v>44840</v>
      </c>
      <c r="H10" s="10"/>
      <c r="I10" t="s">
        <v>20</v>
      </c>
      <c r="J10">
        <v>5</v>
      </c>
      <c r="L10">
        <v>14.2</v>
      </c>
      <c r="M10" t="s">
        <v>36</v>
      </c>
      <c r="N10" s="15">
        <v>618413.71</v>
      </c>
      <c r="O10" t="s">
        <v>22</v>
      </c>
      <c r="P10">
        <v>3.6</v>
      </c>
      <c r="Q10" t="s">
        <v>685</v>
      </c>
      <c r="R10" t="s">
        <v>686</v>
      </c>
      <c r="S10">
        <f>YEAR(Cleaned_data[[#This Row],[Date_Hired]])</f>
        <v>2022</v>
      </c>
    </row>
    <row r="11" spans="1:19" x14ac:dyDescent="0.25">
      <c r="A11" t="s">
        <v>68</v>
      </c>
      <c r="B11" t="s">
        <v>69</v>
      </c>
      <c r="C11" t="s">
        <v>39</v>
      </c>
      <c r="D11" t="s">
        <v>40</v>
      </c>
      <c r="E11" t="s">
        <v>27</v>
      </c>
      <c r="F11">
        <v>40</v>
      </c>
      <c r="G11" s="10">
        <v>44574</v>
      </c>
      <c r="H11" s="10"/>
      <c r="I11" t="s">
        <v>20</v>
      </c>
      <c r="J11">
        <v>2</v>
      </c>
      <c r="L11">
        <v>0.4</v>
      </c>
      <c r="M11" t="s">
        <v>71</v>
      </c>
      <c r="N11" s="15">
        <v>724307.49</v>
      </c>
      <c r="O11" t="s">
        <v>22</v>
      </c>
      <c r="P11">
        <v>4.4000000000000004</v>
      </c>
      <c r="Q11" t="s">
        <v>685</v>
      </c>
      <c r="R11" t="s">
        <v>684</v>
      </c>
      <c r="S11">
        <f>YEAR(Cleaned_data[[#This Row],[Date_Hired]])</f>
        <v>2022</v>
      </c>
    </row>
    <row r="12" spans="1:19" x14ac:dyDescent="0.25">
      <c r="A12" t="s">
        <v>72</v>
      </c>
      <c r="B12" t="s">
        <v>73</v>
      </c>
      <c r="C12" t="s">
        <v>50</v>
      </c>
      <c r="D12" t="s">
        <v>74</v>
      </c>
      <c r="E12" t="s">
        <v>18</v>
      </c>
      <c r="F12">
        <v>27</v>
      </c>
      <c r="G12" s="10">
        <v>44815</v>
      </c>
      <c r="H12" s="10">
        <v>46040</v>
      </c>
      <c r="I12" t="s">
        <v>59</v>
      </c>
      <c r="J12">
        <v>4</v>
      </c>
      <c r="L12">
        <v>3.3</v>
      </c>
      <c r="M12" t="s">
        <v>71</v>
      </c>
      <c r="N12" s="15">
        <v>1043803.98</v>
      </c>
      <c r="O12" t="s">
        <v>31</v>
      </c>
      <c r="P12">
        <v>3.4</v>
      </c>
      <c r="Q12" t="s">
        <v>683</v>
      </c>
      <c r="R12" t="s">
        <v>690</v>
      </c>
      <c r="S12">
        <f>YEAR(Cleaned_data[[#This Row],[Date_Hired]])</f>
        <v>2022</v>
      </c>
    </row>
    <row r="13" spans="1:19" x14ac:dyDescent="0.25">
      <c r="A13" t="s">
        <v>77</v>
      </c>
      <c r="B13" t="s">
        <v>78</v>
      </c>
      <c r="C13" t="s">
        <v>79</v>
      </c>
      <c r="D13" t="s">
        <v>80</v>
      </c>
      <c r="E13" t="s">
        <v>18</v>
      </c>
      <c r="F13">
        <v>49</v>
      </c>
      <c r="G13" s="10">
        <v>45198</v>
      </c>
      <c r="H13" s="10"/>
      <c r="I13" t="s">
        <v>20</v>
      </c>
      <c r="J13">
        <v>1</v>
      </c>
      <c r="L13">
        <v>17.2</v>
      </c>
      <c r="M13" t="s">
        <v>42</v>
      </c>
      <c r="N13" s="15">
        <v>1307309.75</v>
      </c>
      <c r="O13" t="s">
        <v>22</v>
      </c>
      <c r="P13">
        <v>2.7</v>
      </c>
      <c r="Q13" t="s">
        <v>689</v>
      </c>
      <c r="R13" t="s">
        <v>690</v>
      </c>
      <c r="S13">
        <f>YEAR(Cleaned_data[[#This Row],[Date_Hired]])</f>
        <v>2023</v>
      </c>
    </row>
    <row r="14" spans="1:19" x14ac:dyDescent="0.25">
      <c r="A14" t="s">
        <v>82</v>
      </c>
      <c r="B14" t="s">
        <v>83</v>
      </c>
      <c r="C14" t="s">
        <v>25</v>
      </c>
      <c r="D14" t="s">
        <v>51</v>
      </c>
      <c r="E14" t="s">
        <v>27</v>
      </c>
      <c r="F14">
        <v>55</v>
      </c>
      <c r="G14" s="10">
        <v>44273</v>
      </c>
      <c r="H14" s="10"/>
      <c r="I14" t="s">
        <v>20</v>
      </c>
      <c r="J14">
        <v>3</v>
      </c>
      <c r="L14">
        <v>7.6</v>
      </c>
      <c r="M14" t="s">
        <v>21</v>
      </c>
      <c r="N14" s="15">
        <v>648584.73</v>
      </c>
      <c r="O14" t="s">
        <v>22</v>
      </c>
      <c r="P14">
        <v>5.2</v>
      </c>
      <c r="Q14" t="s">
        <v>687</v>
      </c>
      <c r="R14" t="s">
        <v>686</v>
      </c>
      <c r="S14">
        <f>YEAR(Cleaned_data[[#This Row],[Date_Hired]])</f>
        <v>2021</v>
      </c>
    </row>
    <row r="15" spans="1:19" x14ac:dyDescent="0.25">
      <c r="A15" t="s">
        <v>85</v>
      </c>
      <c r="B15" t="s">
        <v>86</v>
      </c>
      <c r="C15" t="s">
        <v>25</v>
      </c>
      <c r="D15" t="s">
        <v>87</v>
      </c>
      <c r="E15" t="s">
        <v>18</v>
      </c>
      <c r="F15">
        <v>30</v>
      </c>
      <c r="G15" s="10">
        <v>44203</v>
      </c>
      <c r="H15" s="10">
        <v>45808</v>
      </c>
      <c r="I15" t="s">
        <v>59</v>
      </c>
      <c r="J15">
        <v>5</v>
      </c>
      <c r="L15">
        <v>12.5</v>
      </c>
      <c r="M15" t="s">
        <v>21</v>
      </c>
      <c r="N15" s="15">
        <v>381203.33</v>
      </c>
      <c r="O15" t="s">
        <v>31</v>
      </c>
      <c r="P15">
        <v>4.4000000000000004</v>
      </c>
      <c r="Q15" t="s">
        <v>685</v>
      </c>
      <c r="R15" t="s">
        <v>686</v>
      </c>
      <c r="S15">
        <f>YEAR(Cleaned_data[[#This Row],[Date_Hired]])</f>
        <v>2021</v>
      </c>
    </row>
    <row r="16" spans="1:19" x14ac:dyDescent="0.25">
      <c r="A16" t="s">
        <v>91</v>
      </c>
      <c r="B16" t="s">
        <v>92</v>
      </c>
      <c r="C16" t="s">
        <v>50</v>
      </c>
      <c r="D16" t="s">
        <v>87</v>
      </c>
      <c r="E16" t="s">
        <v>18</v>
      </c>
      <c r="F16">
        <v>39</v>
      </c>
      <c r="G16" s="10">
        <v>45093</v>
      </c>
      <c r="H16" s="10"/>
      <c r="I16" t="s">
        <v>20</v>
      </c>
      <c r="J16">
        <v>3</v>
      </c>
      <c r="L16">
        <v>1.2</v>
      </c>
      <c r="M16" t="s">
        <v>21</v>
      </c>
      <c r="N16" s="15">
        <v>718000</v>
      </c>
      <c r="O16" t="s">
        <v>22</v>
      </c>
      <c r="P16">
        <v>2.9</v>
      </c>
      <c r="Q16" t="s">
        <v>685</v>
      </c>
      <c r="R16" t="s">
        <v>684</v>
      </c>
      <c r="S16">
        <f>YEAR(Cleaned_data[[#This Row],[Date_Hired]])</f>
        <v>2023</v>
      </c>
    </row>
    <row r="17" spans="1:19" x14ac:dyDescent="0.25">
      <c r="A17" t="s">
        <v>94</v>
      </c>
      <c r="B17" t="s">
        <v>95</v>
      </c>
      <c r="C17" t="s">
        <v>39</v>
      </c>
      <c r="D17" t="s">
        <v>96</v>
      </c>
      <c r="E17" t="s">
        <v>18</v>
      </c>
      <c r="F17">
        <v>45</v>
      </c>
      <c r="G17" s="10">
        <v>44396</v>
      </c>
      <c r="H17" s="10">
        <v>46085</v>
      </c>
      <c r="I17" t="s">
        <v>59</v>
      </c>
      <c r="J17">
        <v>2</v>
      </c>
      <c r="L17">
        <v>9.9</v>
      </c>
      <c r="M17" t="s">
        <v>21</v>
      </c>
      <c r="N17" s="15">
        <v>146963.95000000001</v>
      </c>
      <c r="O17" t="s">
        <v>31</v>
      </c>
      <c r="P17">
        <v>4.5999999999999996</v>
      </c>
      <c r="Q17" t="s">
        <v>689</v>
      </c>
      <c r="R17" t="s">
        <v>688</v>
      </c>
      <c r="S17">
        <f>YEAR(Cleaned_data[[#This Row],[Date_Hired]])</f>
        <v>2021</v>
      </c>
    </row>
    <row r="18" spans="1:19" x14ac:dyDescent="0.25">
      <c r="A18" t="s">
        <v>99</v>
      </c>
      <c r="B18" t="s">
        <v>100</v>
      </c>
      <c r="C18" t="s">
        <v>50</v>
      </c>
      <c r="D18" t="s">
        <v>87</v>
      </c>
      <c r="E18" t="s">
        <v>18</v>
      </c>
      <c r="F18">
        <v>46</v>
      </c>
      <c r="G18" s="10">
        <v>45066</v>
      </c>
      <c r="H18" s="10"/>
      <c r="I18" t="s">
        <v>20</v>
      </c>
      <c r="J18">
        <v>3</v>
      </c>
      <c r="L18">
        <v>16.399999999999999</v>
      </c>
      <c r="M18" t="s">
        <v>42</v>
      </c>
      <c r="N18" s="15">
        <v>1387642.98</v>
      </c>
      <c r="O18" t="s">
        <v>22</v>
      </c>
      <c r="P18">
        <v>3</v>
      </c>
      <c r="Q18" t="s">
        <v>689</v>
      </c>
      <c r="R18" t="s">
        <v>690</v>
      </c>
      <c r="S18">
        <f>YEAR(Cleaned_data[[#This Row],[Date_Hired]])</f>
        <v>2023</v>
      </c>
    </row>
    <row r="19" spans="1:19" x14ac:dyDescent="0.25">
      <c r="A19" t="s">
        <v>102</v>
      </c>
      <c r="B19" t="s">
        <v>103</v>
      </c>
      <c r="C19" t="s">
        <v>39</v>
      </c>
      <c r="D19" t="s">
        <v>26</v>
      </c>
      <c r="E19" t="s">
        <v>27</v>
      </c>
      <c r="F19">
        <v>54</v>
      </c>
      <c r="G19" s="10">
        <v>44930</v>
      </c>
      <c r="H19" s="10"/>
      <c r="I19" t="s">
        <v>20</v>
      </c>
      <c r="J19">
        <v>0</v>
      </c>
      <c r="L19">
        <v>10.8</v>
      </c>
      <c r="M19" t="s">
        <v>36</v>
      </c>
      <c r="N19" s="15">
        <v>1127352.8600000001</v>
      </c>
      <c r="O19" t="s">
        <v>22</v>
      </c>
      <c r="P19">
        <v>3.4</v>
      </c>
      <c r="Q19" t="s">
        <v>687</v>
      </c>
      <c r="R19" t="s">
        <v>690</v>
      </c>
      <c r="S19">
        <f>YEAR(Cleaned_data[[#This Row],[Date_Hired]])</f>
        <v>2023</v>
      </c>
    </row>
    <row r="20" spans="1:19" x14ac:dyDescent="0.25">
      <c r="A20" t="s">
        <v>106</v>
      </c>
      <c r="B20" t="s">
        <v>107</v>
      </c>
      <c r="C20" t="s">
        <v>16</v>
      </c>
      <c r="D20" t="s">
        <v>17</v>
      </c>
      <c r="E20" t="s">
        <v>27</v>
      </c>
      <c r="F20">
        <v>58</v>
      </c>
      <c r="G20" s="10">
        <v>44360</v>
      </c>
      <c r="H20" s="10">
        <v>45331</v>
      </c>
      <c r="I20" t="s">
        <v>59</v>
      </c>
      <c r="J20">
        <v>1</v>
      </c>
      <c r="L20">
        <v>4.2</v>
      </c>
      <c r="M20" t="s">
        <v>21</v>
      </c>
      <c r="N20" s="15">
        <v>650714.81999999995</v>
      </c>
      <c r="O20" t="s">
        <v>31</v>
      </c>
      <c r="P20">
        <v>2.7</v>
      </c>
      <c r="Q20" t="s">
        <v>687</v>
      </c>
      <c r="R20" t="s">
        <v>686</v>
      </c>
      <c r="S20">
        <f>YEAR(Cleaned_data[[#This Row],[Date_Hired]])</f>
        <v>2021</v>
      </c>
    </row>
    <row r="21" spans="1:19" x14ac:dyDescent="0.25">
      <c r="A21" t="s">
        <v>110</v>
      </c>
      <c r="B21" t="s">
        <v>111</v>
      </c>
      <c r="C21" t="s">
        <v>112</v>
      </c>
      <c r="D21" t="s">
        <v>80</v>
      </c>
      <c r="E21" t="s">
        <v>18</v>
      </c>
      <c r="F21">
        <v>54</v>
      </c>
      <c r="G21" s="10">
        <v>44492</v>
      </c>
      <c r="H21" s="10"/>
      <c r="I21" t="s">
        <v>20</v>
      </c>
      <c r="J21">
        <v>3</v>
      </c>
      <c r="L21">
        <v>7.1</v>
      </c>
      <c r="M21" t="s">
        <v>36</v>
      </c>
      <c r="N21" s="15">
        <v>992561.84</v>
      </c>
      <c r="O21" t="s">
        <v>22</v>
      </c>
      <c r="P21">
        <v>4.5999999999999996</v>
      </c>
      <c r="Q21" t="s">
        <v>687</v>
      </c>
      <c r="R21" t="s">
        <v>684</v>
      </c>
      <c r="S21">
        <f>YEAR(Cleaned_data[[#This Row],[Date_Hired]])</f>
        <v>2021</v>
      </c>
    </row>
    <row r="22" spans="1:19" x14ac:dyDescent="0.25">
      <c r="A22" t="s">
        <v>114</v>
      </c>
      <c r="B22" t="s">
        <v>115</v>
      </c>
      <c r="C22" t="s">
        <v>65</v>
      </c>
      <c r="D22" t="s">
        <v>96</v>
      </c>
      <c r="E22" t="s">
        <v>27</v>
      </c>
      <c r="F22">
        <v>40</v>
      </c>
      <c r="G22" s="10">
        <v>44086</v>
      </c>
      <c r="H22" s="10"/>
      <c r="I22" t="s">
        <v>20</v>
      </c>
      <c r="J22">
        <v>1</v>
      </c>
      <c r="L22">
        <v>9.6</v>
      </c>
      <c r="M22" t="s">
        <v>47</v>
      </c>
      <c r="N22" s="15">
        <v>1068311.98</v>
      </c>
      <c r="O22" t="s">
        <v>22</v>
      </c>
      <c r="P22">
        <v>5.7</v>
      </c>
      <c r="Q22" t="s">
        <v>685</v>
      </c>
      <c r="R22" t="s">
        <v>690</v>
      </c>
      <c r="S22">
        <f>YEAR(Cleaned_data[[#This Row],[Date_Hired]])</f>
        <v>2020</v>
      </c>
    </row>
    <row r="23" spans="1:19" x14ac:dyDescent="0.25">
      <c r="A23" t="s">
        <v>117</v>
      </c>
      <c r="B23" t="s">
        <v>118</v>
      </c>
      <c r="C23" t="s">
        <v>65</v>
      </c>
      <c r="D23" t="s">
        <v>26</v>
      </c>
      <c r="E23" t="s">
        <v>27</v>
      </c>
      <c r="F23">
        <v>48</v>
      </c>
      <c r="G23" s="10">
        <v>44351</v>
      </c>
      <c r="H23" s="10"/>
      <c r="I23" t="s">
        <v>20</v>
      </c>
      <c r="J23">
        <v>4</v>
      </c>
      <c r="L23">
        <v>17.5</v>
      </c>
      <c r="M23" t="s">
        <v>47</v>
      </c>
      <c r="N23" s="15">
        <v>955755.03</v>
      </c>
      <c r="O23" t="s">
        <v>22</v>
      </c>
      <c r="P23">
        <v>5</v>
      </c>
      <c r="Q23" t="s">
        <v>689</v>
      </c>
      <c r="R23" t="s">
        <v>684</v>
      </c>
      <c r="S23">
        <f>YEAR(Cleaned_data[[#This Row],[Date_Hired]])</f>
        <v>2021</v>
      </c>
    </row>
    <row r="24" spans="1:19" x14ac:dyDescent="0.25">
      <c r="A24" t="s">
        <v>120</v>
      </c>
      <c r="B24" t="s">
        <v>121</v>
      </c>
      <c r="C24" t="s">
        <v>79</v>
      </c>
      <c r="D24" t="s">
        <v>40</v>
      </c>
      <c r="E24" t="s">
        <v>27</v>
      </c>
      <c r="F24">
        <v>32</v>
      </c>
      <c r="G24" s="10">
        <v>44257</v>
      </c>
      <c r="H24" s="10"/>
      <c r="I24" t="s">
        <v>20</v>
      </c>
      <c r="J24">
        <v>5</v>
      </c>
      <c r="L24">
        <v>15</v>
      </c>
      <c r="M24" t="s">
        <v>47</v>
      </c>
      <c r="N24" s="15">
        <v>866969.06</v>
      </c>
      <c r="O24" t="s">
        <v>22</v>
      </c>
      <c r="P24">
        <v>5.2</v>
      </c>
      <c r="Q24" t="s">
        <v>685</v>
      </c>
      <c r="R24" t="s">
        <v>684</v>
      </c>
      <c r="S24">
        <f>YEAR(Cleaned_data[[#This Row],[Date_Hired]])</f>
        <v>2021</v>
      </c>
    </row>
    <row r="25" spans="1:19" x14ac:dyDescent="0.25">
      <c r="A25" t="s">
        <v>123</v>
      </c>
      <c r="B25" t="s">
        <v>124</v>
      </c>
      <c r="C25" t="s">
        <v>25</v>
      </c>
      <c r="D25" t="s">
        <v>40</v>
      </c>
      <c r="E25" t="s">
        <v>27</v>
      </c>
      <c r="F25">
        <v>58</v>
      </c>
      <c r="G25" s="10">
        <v>43508</v>
      </c>
      <c r="H25" s="10"/>
      <c r="I25" t="s">
        <v>20</v>
      </c>
      <c r="J25">
        <v>3</v>
      </c>
      <c r="L25">
        <v>13.1</v>
      </c>
      <c r="M25" t="s">
        <v>21</v>
      </c>
      <c r="N25" s="15">
        <v>631365.69999999995</v>
      </c>
      <c r="O25" t="s">
        <v>22</v>
      </c>
      <c r="P25">
        <v>7.3</v>
      </c>
      <c r="Q25" t="s">
        <v>687</v>
      </c>
      <c r="R25" t="s">
        <v>686</v>
      </c>
      <c r="S25">
        <f>YEAR(Cleaned_data[[#This Row],[Date_Hired]])</f>
        <v>2019</v>
      </c>
    </row>
    <row r="26" spans="1:19" x14ac:dyDescent="0.25">
      <c r="A26" t="s">
        <v>126</v>
      </c>
      <c r="B26" t="s">
        <v>127</v>
      </c>
      <c r="C26" t="s">
        <v>112</v>
      </c>
      <c r="D26" t="s">
        <v>74</v>
      </c>
      <c r="E26" t="s">
        <v>18</v>
      </c>
      <c r="F26">
        <v>50</v>
      </c>
      <c r="G26" s="10">
        <v>44897</v>
      </c>
      <c r="H26" s="10">
        <v>45415</v>
      </c>
      <c r="I26" t="s">
        <v>59</v>
      </c>
      <c r="J26">
        <v>3</v>
      </c>
      <c r="L26">
        <v>6.9</v>
      </c>
      <c r="M26" t="s">
        <v>47</v>
      </c>
      <c r="N26" s="15">
        <v>779793.35</v>
      </c>
      <c r="O26" t="s">
        <v>31</v>
      </c>
      <c r="P26">
        <v>1.4</v>
      </c>
      <c r="Q26" t="s">
        <v>689</v>
      </c>
      <c r="R26" t="s">
        <v>684</v>
      </c>
      <c r="S26">
        <f>YEAR(Cleaned_data[[#This Row],[Date_Hired]])</f>
        <v>2022</v>
      </c>
    </row>
    <row r="27" spans="1:19" x14ac:dyDescent="0.25">
      <c r="A27" t="s">
        <v>130</v>
      </c>
      <c r="B27" t="s">
        <v>131</v>
      </c>
      <c r="C27" t="s">
        <v>65</v>
      </c>
      <c r="D27" t="s">
        <v>51</v>
      </c>
      <c r="E27" t="s">
        <v>27</v>
      </c>
      <c r="F27">
        <v>23</v>
      </c>
      <c r="G27" s="10">
        <v>44436</v>
      </c>
      <c r="H27" s="10"/>
      <c r="I27" t="s">
        <v>20</v>
      </c>
      <c r="J27">
        <v>4</v>
      </c>
      <c r="L27">
        <v>4.5999999999999996</v>
      </c>
      <c r="M27" t="s">
        <v>21</v>
      </c>
      <c r="N27" s="15">
        <v>803839.55</v>
      </c>
      <c r="O27" t="s">
        <v>22</v>
      </c>
      <c r="P27">
        <v>4.7</v>
      </c>
      <c r="Q27" t="s">
        <v>683</v>
      </c>
      <c r="R27" t="s">
        <v>684</v>
      </c>
      <c r="S27">
        <f>YEAR(Cleaned_data[[#This Row],[Date_Hired]])</f>
        <v>2021</v>
      </c>
    </row>
    <row r="28" spans="1:19" x14ac:dyDescent="0.25">
      <c r="A28" t="s">
        <v>133</v>
      </c>
      <c r="B28" t="s">
        <v>49</v>
      </c>
      <c r="C28" t="s">
        <v>39</v>
      </c>
      <c r="D28" t="s">
        <v>80</v>
      </c>
      <c r="E28" t="s">
        <v>18</v>
      </c>
      <c r="F28">
        <v>27</v>
      </c>
      <c r="G28" s="10">
        <v>43528</v>
      </c>
      <c r="H28" s="10"/>
      <c r="I28" t="s">
        <v>20</v>
      </c>
      <c r="J28">
        <v>4</v>
      </c>
      <c r="L28">
        <v>5.6</v>
      </c>
      <c r="M28" t="s">
        <v>42</v>
      </c>
      <c r="N28" s="15">
        <v>588950.28</v>
      </c>
      <c r="O28" t="s">
        <v>22</v>
      </c>
      <c r="P28">
        <v>7.2</v>
      </c>
      <c r="Q28" t="s">
        <v>683</v>
      </c>
      <c r="R28" t="s">
        <v>686</v>
      </c>
      <c r="S28">
        <f>YEAR(Cleaned_data[[#This Row],[Date_Hired]])</f>
        <v>2019</v>
      </c>
    </row>
    <row r="29" spans="1:19" x14ac:dyDescent="0.25">
      <c r="A29" t="s">
        <v>135</v>
      </c>
      <c r="B29" t="s">
        <v>136</v>
      </c>
      <c r="C29" t="s">
        <v>112</v>
      </c>
      <c r="D29" t="s">
        <v>17</v>
      </c>
      <c r="E29" t="s">
        <v>18</v>
      </c>
      <c r="F29">
        <v>58</v>
      </c>
      <c r="G29" s="10">
        <v>44933</v>
      </c>
      <c r="H29" s="10">
        <v>45479</v>
      </c>
      <c r="I29" t="s">
        <v>59</v>
      </c>
      <c r="J29">
        <v>3</v>
      </c>
      <c r="L29">
        <v>1.1000000000000001</v>
      </c>
      <c r="M29" t="s">
        <v>21</v>
      </c>
      <c r="N29" s="15">
        <v>473873.91</v>
      </c>
      <c r="O29" t="s">
        <v>31</v>
      </c>
      <c r="P29">
        <v>1.5</v>
      </c>
      <c r="Q29" t="s">
        <v>687</v>
      </c>
      <c r="R29" t="s">
        <v>686</v>
      </c>
      <c r="S29">
        <f>YEAR(Cleaned_data[[#This Row],[Date_Hired]])</f>
        <v>2023</v>
      </c>
    </row>
    <row r="30" spans="1:19" x14ac:dyDescent="0.25">
      <c r="A30" t="s">
        <v>140</v>
      </c>
      <c r="B30" t="s">
        <v>141</v>
      </c>
      <c r="C30" t="s">
        <v>16</v>
      </c>
      <c r="D30" t="s">
        <v>51</v>
      </c>
      <c r="E30" t="s">
        <v>27</v>
      </c>
      <c r="F30">
        <v>52</v>
      </c>
      <c r="G30" s="10">
        <v>43969</v>
      </c>
      <c r="H30" s="10"/>
      <c r="I30" t="s">
        <v>20</v>
      </c>
      <c r="J30">
        <v>4</v>
      </c>
      <c r="L30">
        <v>14.5</v>
      </c>
      <c r="M30" t="s">
        <v>21</v>
      </c>
      <c r="N30" s="15">
        <v>760893.91</v>
      </c>
      <c r="O30" t="s">
        <v>22</v>
      </c>
      <c r="P30">
        <v>6</v>
      </c>
      <c r="Q30" t="s">
        <v>687</v>
      </c>
      <c r="R30" t="s">
        <v>684</v>
      </c>
      <c r="S30">
        <f>YEAR(Cleaned_data[[#This Row],[Date_Hired]])</f>
        <v>2020</v>
      </c>
    </row>
    <row r="31" spans="1:19" x14ac:dyDescent="0.25">
      <c r="A31" t="s">
        <v>143</v>
      </c>
      <c r="B31" t="s">
        <v>144</v>
      </c>
      <c r="C31" t="s">
        <v>112</v>
      </c>
      <c r="D31" t="s">
        <v>74</v>
      </c>
      <c r="E31" t="s">
        <v>18</v>
      </c>
      <c r="F31">
        <v>53</v>
      </c>
      <c r="G31" s="10">
        <v>43945</v>
      </c>
      <c r="H31" s="10"/>
      <c r="I31" t="s">
        <v>20</v>
      </c>
      <c r="J31">
        <v>5</v>
      </c>
      <c r="L31">
        <v>-1.2</v>
      </c>
      <c r="M31" t="s">
        <v>42</v>
      </c>
      <c r="N31" s="15">
        <v>718000</v>
      </c>
      <c r="O31" t="s">
        <v>22</v>
      </c>
      <c r="P31">
        <v>6.1</v>
      </c>
      <c r="Q31" t="s">
        <v>687</v>
      </c>
      <c r="R31" t="s">
        <v>684</v>
      </c>
      <c r="S31">
        <f>YEAR(Cleaned_data[[#This Row],[Date_Hired]])</f>
        <v>2020</v>
      </c>
    </row>
    <row r="32" spans="1:19" x14ac:dyDescent="0.25">
      <c r="A32" t="s">
        <v>146</v>
      </c>
      <c r="B32" t="s">
        <v>107</v>
      </c>
      <c r="C32" t="s">
        <v>112</v>
      </c>
      <c r="D32" t="s">
        <v>51</v>
      </c>
      <c r="E32" t="s">
        <v>18</v>
      </c>
      <c r="F32">
        <v>23</v>
      </c>
      <c r="G32" s="10">
        <v>43557</v>
      </c>
      <c r="H32" s="10"/>
      <c r="I32" t="s">
        <v>20</v>
      </c>
      <c r="J32">
        <v>2</v>
      </c>
      <c r="L32">
        <v>15.5</v>
      </c>
      <c r="M32" t="s">
        <v>21</v>
      </c>
      <c r="N32" s="15">
        <v>1434665.5</v>
      </c>
      <c r="O32" t="s">
        <v>22</v>
      </c>
      <c r="P32">
        <v>7.2</v>
      </c>
      <c r="Q32" t="s">
        <v>683</v>
      </c>
      <c r="R32" t="s">
        <v>690</v>
      </c>
      <c r="S32">
        <f>YEAR(Cleaned_data[[#This Row],[Date_Hired]])</f>
        <v>2019</v>
      </c>
    </row>
    <row r="33" spans="1:19" x14ac:dyDescent="0.25">
      <c r="A33" t="s">
        <v>148</v>
      </c>
      <c r="B33" t="s">
        <v>149</v>
      </c>
      <c r="C33" t="s">
        <v>39</v>
      </c>
      <c r="D33" t="s">
        <v>17</v>
      </c>
      <c r="E33" t="s">
        <v>27</v>
      </c>
      <c r="F33">
        <v>36</v>
      </c>
      <c r="G33" s="10">
        <v>44699</v>
      </c>
      <c r="H33" s="10"/>
      <c r="I33" t="s">
        <v>20</v>
      </c>
      <c r="J33">
        <v>3</v>
      </c>
      <c r="L33">
        <v>6.6</v>
      </c>
      <c r="M33" t="s">
        <v>47</v>
      </c>
      <c r="N33" s="15">
        <v>1188750.06</v>
      </c>
      <c r="O33" t="s">
        <v>22</v>
      </c>
      <c r="P33">
        <v>4</v>
      </c>
      <c r="Q33" t="s">
        <v>685</v>
      </c>
      <c r="R33" t="s">
        <v>690</v>
      </c>
      <c r="S33">
        <f>YEAR(Cleaned_data[[#This Row],[Date_Hired]])</f>
        <v>2022</v>
      </c>
    </row>
    <row r="34" spans="1:19" x14ac:dyDescent="0.25">
      <c r="A34" t="s">
        <v>151</v>
      </c>
      <c r="B34" t="s">
        <v>107</v>
      </c>
      <c r="C34" t="s">
        <v>79</v>
      </c>
      <c r="D34" t="s">
        <v>74</v>
      </c>
      <c r="E34" t="s">
        <v>27</v>
      </c>
      <c r="F34">
        <v>52</v>
      </c>
      <c r="G34" s="10">
        <v>44304</v>
      </c>
      <c r="H34" s="10"/>
      <c r="I34" t="s">
        <v>20</v>
      </c>
      <c r="J34">
        <v>1</v>
      </c>
      <c r="L34">
        <v>1</v>
      </c>
      <c r="M34" t="s">
        <v>47</v>
      </c>
      <c r="N34" s="15">
        <v>122359.87</v>
      </c>
      <c r="O34" t="s">
        <v>22</v>
      </c>
      <c r="P34">
        <v>5.0999999999999996</v>
      </c>
      <c r="Q34" t="s">
        <v>687</v>
      </c>
      <c r="R34" t="s">
        <v>688</v>
      </c>
      <c r="S34">
        <f>YEAR(Cleaned_data[[#This Row],[Date_Hired]])</f>
        <v>2021</v>
      </c>
    </row>
    <row r="35" spans="1:19" x14ac:dyDescent="0.25">
      <c r="A35" t="s">
        <v>153</v>
      </c>
      <c r="B35" t="s">
        <v>154</v>
      </c>
      <c r="C35" t="s">
        <v>25</v>
      </c>
      <c r="D35" t="s">
        <v>40</v>
      </c>
      <c r="E35" t="s">
        <v>18</v>
      </c>
      <c r="F35">
        <v>39</v>
      </c>
      <c r="G35" s="10">
        <v>44332</v>
      </c>
      <c r="H35" s="10">
        <v>45628</v>
      </c>
      <c r="I35" t="s">
        <v>59</v>
      </c>
      <c r="J35">
        <v>4</v>
      </c>
      <c r="L35">
        <v>0.7</v>
      </c>
      <c r="M35" t="s">
        <v>42</v>
      </c>
      <c r="N35" s="15">
        <v>946761.29</v>
      </c>
      <c r="O35" t="s">
        <v>31</v>
      </c>
      <c r="P35">
        <v>3.6</v>
      </c>
      <c r="Q35" t="s">
        <v>685</v>
      </c>
      <c r="R35" t="s">
        <v>684</v>
      </c>
      <c r="S35">
        <f>YEAR(Cleaned_data[[#This Row],[Date_Hired]])</f>
        <v>2021</v>
      </c>
    </row>
    <row r="36" spans="1:19" x14ac:dyDescent="0.25">
      <c r="A36" t="s">
        <v>157</v>
      </c>
      <c r="B36" t="s">
        <v>158</v>
      </c>
      <c r="C36" t="s">
        <v>39</v>
      </c>
      <c r="D36" t="s">
        <v>74</v>
      </c>
      <c r="E36" t="s">
        <v>18</v>
      </c>
      <c r="F36">
        <v>40</v>
      </c>
      <c r="G36" s="10">
        <v>43701</v>
      </c>
      <c r="H36" s="10">
        <v>44635</v>
      </c>
      <c r="I36" t="s">
        <v>30</v>
      </c>
      <c r="J36">
        <v>3</v>
      </c>
      <c r="L36">
        <v>5.4</v>
      </c>
      <c r="M36" t="s">
        <v>36</v>
      </c>
      <c r="N36" s="15">
        <v>101757.79</v>
      </c>
      <c r="O36" t="s">
        <v>31</v>
      </c>
      <c r="P36">
        <v>2.6</v>
      </c>
      <c r="Q36" t="s">
        <v>685</v>
      </c>
      <c r="R36" t="s">
        <v>688</v>
      </c>
      <c r="S36">
        <f>YEAR(Cleaned_data[[#This Row],[Date_Hired]])</f>
        <v>2019</v>
      </c>
    </row>
    <row r="37" spans="1:19" x14ac:dyDescent="0.25">
      <c r="A37" t="s">
        <v>162</v>
      </c>
      <c r="B37" t="s">
        <v>163</v>
      </c>
      <c r="C37" t="s">
        <v>112</v>
      </c>
      <c r="D37" t="s">
        <v>74</v>
      </c>
      <c r="E37" t="s">
        <v>18</v>
      </c>
      <c r="F37">
        <v>57</v>
      </c>
      <c r="G37" s="10">
        <v>44814</v>
      </c>
      <c r="H37" s="10">
        <v>46532</v>
      </c>
      <c r="I37" t="s">
        <v>30</v>
      </c>
      <c r="J37">
        <v>0</v>
      </c>
      <c r="L37">
        <v>14.2</v>
      </c>
      <c r="M37" t="s">
        <v>47</v>
      </c>
      <c r="N37" s="15">
        <v>1299874.53</v>
      </c>
      <c r="O37" t="s">
        <v>31</v>
      </c>
      <c r="P37">
        <v>4.7</v>
      </c>
      <c r="Q37" t="s">
        <v>687</v>
      </c>
      <c r="R37" t="s">
        <v>690</v>
      </c>
      <c r="S37">
        <f>YEAR(Cleaned_data[[#This Row],[Date_Hired]])</f>
        <v>2022</v>
      </c>
    </row>
    <row r="38" spans="1:19" x14ac:dyDescent="0.25">
      <c r="A38" t="s">
        <v>167</v>
      </c>
      <c r="B38" t="s">
        <v>149</v>
      </c>
      <c r="C38" t="s">
        <v>45</v>
      </c>
      <c r="D38" t="s">
        <v>17</v>
      </c>
      <c r="E38" t="s">
        <v>27</v>
      </c>
      <c r="F38">
        <v>30</v>
      </c>
      <c r="G38" s="10">
        <v>43719</v>
      </c>
      <c r="H38" s="10">
        <v>44118</v>
      </c>
      <c r="I38" t="s">
        <v>30</v>
      </c>
      <c r="J38">
        <v>2</v>
      </c>
      <c r="L38">
        <v>12.7</v>
      </c>
      <c r="M38" t="s">
        <v>71</v>
      </c>
      <c r="N38" s="15">
        <v>1385149.04</v>
      </c>
      <c r="O38" t="s">
        <v>31</v>
      </c>
      <c r="P38">
        <v>1.1000000000000001</v>
      </c>
      <c r="Q38" t="s">
        <v>685</v>
      </c>
      <c r="R38" t="s">
        <v>690</v>
      </c>
      <c r="S38">
        <f>YEAR(Cleaned_data[[#This Row],[Date_Hired]])</f>
        <v>2019</v>
      </c>
    </row>
    <row r="39" spans="1:19" x14ac:dyDescent="0.25">
      <c r="A39" t="s">
        <v>170</v>
      </c>
      <c r="B39" t="s">
        <v>171</v>
      </c>
      <c r="C39" t="s">
        <v>45</v>
      </c>
      <c r="D39" t="s">
        <v>87</v>
      </c>
      <c r="E39" t="s">
        <v>18</v>
      </c>
      <c r="F39">
        <v>23</v>
      </c>
      <c r="G39" s="10">
        <v>43706</v>
      </c>
      <c r="H39" s="10"/>
      <c r="I39" t="s">
        <v>20</v>
      </c>
      <c r="J39">
        <v>3</v>
      </c>
      <c r="L39">
        <v>8.4</v>
      </c>
      <c r="M39" t="s">
        <v>71</v>
      </c>
      <c r="N39" s="15">
        <v>118976.86</v>
      </c>
      <c r="O39" t="s">
        <v>22</v>
      </c>
      <c r="P39">
        <v>6.7</v>
      </c>
      <c r="Q39" t="s">
        <v>683</v>
      </c>
      <c r="R39" t="s">
        <v>688</v>
      </c>
      <c r="S39">
        <f>YEAR(Cleaned_data[[#This Row],[Date_Hired]])</f>
        <v>2019</v>
      </c>
    </row>
    <row r="40" spans="1:19" x14ac:dyDescent="0.25">
      <c r="A40" t="s">
        <v>173</v>
      </c>
      <c r="B40" t="s">
        <v>131</v>
      </c>
      <c r="C40" t="s">
        <v>16</v>
      </c>
      <c r="D40" t="s">
        <v>74</v>
      </c>
      <c r="E40" t="s">
        <v>27</v>
      </c>
      <c r="F40">
        <v>27</v>
      </c>
      <c r="G40" s="10">
        <v>44920</v>
      </c>
      <c r="H40" s="10"/>
      <c r="I40" t="s">
        <v>20</v>
      </c>
      <c r="J40">
        <v>2</v>
      </c>
      <c r="L40">
        <v>15.4</v>
      </c>
      <c r="M40" t="s">
        <v>71</v>
      </c>
      <c r="N40" s="15">
        <v>1122493.98</v>
      </c>
      <c r="O40" t="s">
        <v>22</v>
      </c>
      <c r="P40">
        <v>3.4</v>
      </c>
      <c r="Q40" t="s">
        <v>683</v>
      </c>
      <c r="R40" t="s">
        <v>690</v>
      </c>
      <c r="S40">
        <f>YEAR(Cleaned_data[[#This Row],[Date_Hired]])</f>
        <v>2022</v>
      </c>
    </row>
    <row r="41" spans="1:19" x14ac:dyDescent="0.25">
      <c r="A41" t="s">
        <v>175</v>
      </c>
      <c r="B41" t="s">
        <v>176</v>
      </c>
      <c r="C41" t="s">
        <v>45</v>
      </c>
      <c r="D41" t="s">
        <v>26</v>
      </c>
      <c r="E41" t="s">
        <v>18</v>
      </c>
      <c r="F41">
        <v>35</v>
      </c>
      <c r="G41" s="10">
        <v>43543</v>
      </c>
      <c r="H41" s="10">
        <v>44527</v>
      </c>
      <c r="I41" t="s">
        <v>30</v>
      </c>
      <c r="J41">
        <v>5</v>
      </c>
      <c r="L41">
        <v>3.1</v>
      </c>
      <c r="M41" t="s">
        <v>21</v>
      </c>
      <c r="N41" s="15">
        <v>236697.58</v>
      </c>
      <c r="O41" t="s">
        <v>31</v>
      </c>
      <c r="P41">
        <v>2.7</v>
      </c>
      <c r="Q41" t="s">
        <v>685</v>
      </c>
      <c r="R41" t="s">
        <v>688</v>
      </c>
      <c r="S41">
        <f>YEAR(Cleaned_data[[#This Row],[Date_Hired]])</f>
        <v>2019</v>
      </c>
    </row>
    <row r="42" spans="1:19" x14ac:dyDescent="0.25">
      <c r="A42" t="s">
        <v>179</v>
      </c>
      <c r="B42" t="s">
        <v>180</v>
      </c>
      <c r="C42" t="s">
        <v>65</v>
      </c>
      <c r="D42" t="s">
        <v>96</v>
      </c>
      <c r="E42" t="s">
        <v>27</v>
      </c>
      <c r="F42">
        <v>30</v>
      </c>
      <c r="G42" s="10">
        <v>43603</v>
      </c>
      <c r="H42" s="10"/>
      <c r="I42" t="s">
        <v>20</v>
      </c>
      <c r="J42">
        <v>4</v>
      </c>
      <c r="L42">
        <v>15.5</v>
      </c>
      <c r="M42" t="s">
        <v>42</v>
      </c>
      <c r="N42" s="15">
        <v>181814.04</v>
      </c>
      <c r="O42" t="s">
        <v>22</v>
      </c>
      <c r="P42">
        <v>7</v>
      </c>
      <c r="Q42" t="s">
        <v>685</v>
      </c>
      <c r="R42" t="s">
        <v>688</v>
      </c>
      <c r="S42">
        <f>YEAR(Cleaned_data[[#This Row],[Date_Hired]])</f>
        <v>2019</v>
      </c>
    </row>
    <row r="43" spans="1:19" x14ac:dyDescent="0.25">
      <c r="A43" t="s">
        <v>182</v>
      </c>
      <c r="B43" t="s">
        <v>183</v>
      </c>
      <c r="C43" t="s">
        <v>65</v>
      </c>
      <c r="D43" t="s">
        <v>17</v>
      </c>
      <c r="E43" t="s">
        <v>27</v>
      </c>
      <c r="F43">
        <v>23</v>
      </c>
      <c r="G43" s="10">
        <v>44305</v>
      </c>
      <c r="H43" s="10">
        <v>45317</v>
      </c>
      <c r="I43" t="s">
        <v>30</v>
      </c>
      <c r="J43">
        <v>1</v>
      </c>
      <c r="L43">
        <v>19.899999999999999</v>
      </c>
      <c r="M43" t="s">
        <v>47</v>
      </c>
      <c r="N43" s="15">
        <v>441628.89</v>
      </c>
      <c r="O43" t="s">
        <v>31</v>
      </c>
      <c r="P43">
        <v>2.8</v>
      </c>
      <c r="Q43" t="s">
        <v>683</v>
      </c>
      <c r="R43" t="s">
        <v>686</v>
      </c>
      <c r="S43">
        <f>YEAR(Cleaned_data[[#This Row],[Date_Hired]])</f>
        <v>2021</v>
      </c>
    </row>
    <row r="44" spans="1:19" x14ac:dyDescent="0.25">
      <c r="A44" t="s">
        <v>186</v>
      </c>
      <c r="B44" t="s">
        <v>187</v>
      </c>
      <c r="C44" t="s">
        <v>50</v>
      </c>
      <c r="D44" t="s">
        <v>87</v>
      </c>
      <c r="E44" t="s">
        <v>27</v>
      </c>
      <c r="F44">
        <v>40</v>
      </c>
      <c r="G44" s="10">
        <v>43660</v>
      </c>
      <c r="H44" s="10"/>
      <c r="I44" t="s">
        <v>20</v>
      </c>
      <c r="J44">
        <v>4</v>
      </c>
      <c r="L44">
        <v>6.3</v>
      </c>
      <c r="M44" t="s">
        <v>47</v>
      </c>
      <c r="N44" s="15">
        <v>698048.35</v>
      </c>
      <c r="O44" t="s">
        <v>22</v>
      </c>
      <c r="P44">
        <v>6.9</v>
      </c>
      <c r="Q44" t="s">
        <v>685</v>
      </c>
      <c r="R44" t="s">
        <v>686</v>
      </c>
      <c r="S44">
        <f>YEAR(Cleaned_data[[#This Row],[Date_Hired]])</f>
        <v>2019</v>
      </c>
    </row>
    <row r="45" spans="1:19" x14ac:dyDescent="0.25">
      <c r="A45" t="s">
        <v>189</v>
      </c>
      <c r="B45" t="s">
        <v>190</v>
      </c>
      <c r="C45" t="s">
        <v>112</v>
      </c>
      <c r="D45" t="s">
        <v>96</v>
      </c>
      <c r="E45" t="s">
        <v>27</v>
      </c>
      <c r="F45">
        <v>23</v>
      </c>
      <c r="G45" s="10">
        <v>44091</v>
      </c>
      <c r="H45" s="10">
        <v>44842</v>
      </c>
      <c r="I45" t="s">
        <v>30</v>
      </c>
      <c r="J45">
        <v>2</v>
      </c>
      <c r="L45">
        <v>18.7</v>
      </c>
      <c r="M45" t="s">
        <v>47</v>
      </c>
      <c r="N45" s="15">
        <v>201579.78</v>
      </c>
      <c r="O45" t="s">
        <v>31</v>
      </c>
      <c r="P45">
        <v>2.1</v>
      </c>
      <c r="Q45" t="s">
        <v>683</v>
      </c>
      <c r="R45" t="s">
        <v>688</v>
      </c>
      <c r="S45">
        <f>YEAR(Cleaned_data[[#This Row],[Date_Hired]])</f>
        <v>2020</v>
      </c>
    </row>
    <row r="46" spans="1:19" x14ac:dyDescent="0.25">
      <c r="A46" t="s">
        <v>193</v>
      </c>
      <c r="B46" t="s">
        <v>194</v>
      </c>
      <c r="C46" t="s">
        <v>39</v>
      </c>
      <c r="D46" t="s">
        <v>51</v>
      </c>
      <c r="E46" t="s">
        <v>27</v>
      </c>
      <c r="F46">
        <v>25</v>
      </c>
      <c r="G46" s="10">
        <v>45285</v>
      </c>
      <c r="H46" s="10">
        <v>47024</v>
      </c>
      <c r="I46" t="s">
        <v>30</v>
      </c>
      <c r="J46">
        <v>3</v>
      </c>
      <c r="L46">
        <v>4.7</v>
      </c>
      <c r="M46" t="s">
        <v>42</v>
      </c>
      <c r="N46" s="15">
        <v>718000</v>
      </c>
      <c r="O46" t="s">
        <v>31</v>
      </c>
      <c r="P46">
        <v>4.8</v>
      </c>
      <c r="Q46" t="s">
        <v>683</v>
      </c>
      <c r="R46" t="s">
        <v>684</v>
      </c>
      <c r="S46">
        <f>YEAR(Cleaned_data[[#This Row],[Date_Hired]])</f>
        <v>2023</v>
      </c>
    </row>
    <row r="47" spans="1:19" x14ac:dyDescent="0.25">
      <c r="A47" t="s">
        <v>197</v>
      </c>
      <c r="B47" t="s">
        <v>198</v>
      </c>
      <c r="C47" t="s">
        <v>50</v>
      </c>
      <c r="D47" t="s">
        <v>80</v>
      </c>
      <c r="E47" t="s">
        <v>27</v>
      </c>
      <c r="F47">
        <v>24</v>
      </c>
      <c r="G47" s="10">
        <v>44350</v>
      </c>
      <c r="H47" s="10">
        <v>45355</v>
      </c>
      <c r="I47" t="s">
        <v>30</v>
      </c>
      <c r="J47">
        <v>3</v>
      </c>
      <c r="L47">
        <v>1.6</v>
      </c>
      <c r="M47" t="s">
        <v>47</v>
      </c>
      <c r="N47" s="15">
        <v>967121.22</v>
      </c>
      <c r="O47" t="s">
        <v>31</v>
      </c>
      <c r="P47">
        <v>2.8</v>
      </c>
      <c r="Q47" t="s">
        <v>683</v>
      </c>
      <c r="R47" t="s">
        <v>684</v>
      </c>
      <c r="S47">
        <f>YEAR(Cleaned_data[[#This Row],[Date_Hired]])</f>
        <v>2021</v>
      </c>
    </row>
    <row r="48" spans="1:19" x14ac:dyDescent="0.25">
      <c r="A48" t="s">
        <v>201</v>
      </c>
      <c r="B48" t="s">
        <v>202</v>
      </c>
      <c r="C48" t="s">
        <v>45</v>
      </c>
      <c r="D48" t="s">
        <v>96</v>
      </c>
      <c r="E48" t="s">
        <v>18</v>
      </c>
      <c r="F48">
        <v>37</v>
      </c>
      <c r="G48" s="10">
        <v>44270</v>
      </c>
      <c r="H48" s="10"/>
      <c r="I48" t="s">
        <v>20</v>
      </c>
      <c r="J48">
        <v>5</v>
      </c>
      <c r="L48">
        <v>6.8</v>
      </c>
      <c r="M48" t="s">
        <v>71</v>
      </c>
      <c r="N48" s="15">
        <v>1048085.81</v>
      </c>
      <c r="O48" t="s">
        <v>22</v>
      </c>
      <c r="P48">
        <v>5.2</v>
      </c>
      <c r="Q48" t="s">
        <v>685</v>
      </c>
      <c r="R48" t="s">
        <v>690</v>
      </c>
      <c r="S48">
        <f>YEAR(Cleaned_data[[#This Row],[Date_Hired]])</f>
        <v>2021</v>
      </c>
    </row>
    <row r="49" spans="1:19" x14ac:dyDescent="0.25">
      <c r="A49" t="s">
        <v>204</v>
      </c>
      <c r="B49" t="s">
        <v>24</v>
      </c>
      <c r="C49" t="s">
        <v>45</v>
      </c>
      <c r="D49" t="s">
        <v>80</v>
      </c>
      <c r="E49" t="s">
        <v>27</v>
      </c>
      <c r="F49">
        <v>34</v>
      </c>
      <c r="G49" s="10">
        <v>43484</v>
      </c>
      <c r="H49" s="10"/>
      <c r="I49" t="s">
        <v>20</v>
      </c>
      <c r="J49">
        <v>1</v>
      </c>
      <c r="L49">
        <v>1.9</v>
      </c>
      <c r="M49" t="s">
        <v>71</v>
      </c>
      <c r="N49" s="15">
        <v>1274595.54</v>
      </c>
      <c r="O49" t="s">
        <v>22</v>
      </c>
      <c r="P49">
        <v>7.4</v>
      </c>
      <c r="Q49" t="s">
        <v>685</v>
      </c>
      <c r="R49" t="s">
        <v>690</v>
      </c>
      <c r="S49">
        <f>YEAR(Cleaned_data[[#This Row],[Date_Hired]])</f>
        <v>2019</v>
      </c>
    </row>
    <row r="50" spans="1:19" x14ac:dyDescent="0.25">
      <c r="A50" t="s">
        <v>206</v>
      </c>
      <c r="B50" t="s">
        <v>207</v>
      </c>
      <c r="C50" t="s">
        <v>112</v>
      </c>
      <c r="D50" t="s">
        <v>51</v>
      </c>
      <c r="E50" t="s">
        <v>18</v>
      </c>
      <c r="F50">
        <v>36</v>
      </c>
      <c r="G50" s="10">
        <v>44423</v>
      </c>
      <c r="H50" s="10"/>
      <c r="I50" t="s">
        <v>20</v>
      </c>
      <c r="J50">
        <v>2</v>
      </c>
      <c r="L50">
        <v>15.5</v>
      </c>
      <c r="M50" t="s">
        <v>42</v>
      </c>
      <c r="N50" s="15">
        <v>332588.59999999998</v>
      </c>
      <c r="O50" t="s">
        <v>22</v>
      </c>
      <c r="P50">
        <v>4.8</v>
      </c>
      <c r="Q50" t="s">
        <v>685</v>
      </c>
      <c r="R50" t="s">
        <v>686</v>
      </c>
      <c r="S50">
        <f>YEAR(Cleaned_data[[#This Row],[Date_Hired]])</f>
        <v>2021</v>
      </c>
    </row>
    <row r="51" spans="1:19" x14ac:dyDescent="0.25">
      <c r="A51" t="s">
        <v>209</v>
      </c>
      <c r="B51" t="s">
        <v>210</v>
      </c>
      <c r="C51" t="s">
        <v>65</v>
      </c>
      <c r="D51" t="s">
        <v>80</v>
      </c>
      <c r="E51" t="s">
        <v>18</v>
      </c>
      <c r="F51">
        <v>49</v>
      </c>
      <c r="G51" s="10">
        <v>44245</v>
      </c>
      <c r="H51" s="10">
        <v>44808</v>
      </c>
      <c r="I51" t="s">
        <v>59</v>
      </c>
      <c r="J51">
        <v>5</v>
      </c>
      <c r="L51">
        <v>2</v>
      </c>
      <c r="M51" t="s">
        <v>21</v>
      </c>
      <c r="N51" s="15">
        <v>1202518.95</v>
      </c>
      <c r="O51" t="s">
        <v>31</v>
      </c>
      <c r="P51">
        <v>1.5</v>
      </c>
      <c r="Q51" t="s">
        <v>689</v>
      </c>
      <c r="R51" t="s">
        <v>690</v>
      </c>
      <c r="S51">
        <f>YEAR(Cleaned_data[[#This Row],[Date_Hired]])</f>
        <v>2021</v>
      </c>
    </row>
    <row r="52" spans="1:19" x14ac:dyDescent="0.25">
      <c r="A52" t="s">
        <v>213</v>
      </c>
      <c r="B52" t="s">
        <v>214</v>
      </c>
      <c r="C52" t="s">
        <v>65</v>
      </c>
      <c r="D52" t="s">
        <v>17</v>
      </c>
      <c r="E52" t="s">
        <v>18</v>
      </c>
      <c r="F52">
        <v>30</v>
      </c>
      <c r="G52" s="10">
        <v>44288</v>
      </c>
      <c r="H52" s="10"/>
      <c r="I52" t="s">
        <v>20</v>
      </c>
      <c r="J52">
        <v>1</v>
      </c>
      <c r="L52">
        <v>13.8</v>
      </c>
      <c r="M52" t="s">
        <v>36</v>
      </c>
      <c r="N52" s="15">
        <v>300519.62</v>
      </c>
      <c r="O52" t="s">
        <v>22</v>
      </c>
      <c r="P52">
        <v>5.2</v>
      </c>
      <c r="Q52" t="s">
        <v>685</v>
      </c>
      <c r="R52" t="s">
        <v>686</v>
      </c>
      <c r="S52">
        <f>YEAR(Cleaned_data[[#This Row],[Date_Hired]])</f>
        <v>2021</v>
      </c>
    </row>
    <row r="53" spans="1:19" x14ac:dyDescent="0.25">
      <c r="A53" t="s">
        <v>216</v>
      </c>
      <c r="B53" t="s">
        <v>217</v>
      </c>
      <c r="C53" t="s">
        <v>50</v>
      </c>
      <c r="D53" t="s">
        <v>26</v>
      </c>
      <c r="E53" t="s">
        <v>27</v>
      </c>
      <c r="F53">
        <v>52</v>
      </c>
      <c r="G53" s="10">
        <v>44526</v>
      </c>
      <c r="H53" s="10">
        <v>45671</v>
      </c>
      <c r="I53" t="s">
        <v>59</v>
      </c>
      <c r="J53">
        <v>3</v>
      </c>
      <c r="L53">
        <v>3.2</v>
      </c>
      <c r="M53" t="s">
        <v>42</v>
      </c>
      <c r="N53" s="15">
        <v>134724.98000000001</v>
      </c>
      <c r="O53" t="s">
        <v>31</v>
      </c>
      <c r="P53">
        <v>3.1</v>
      </c>
      <c r="Q53" t="s">
        <v>687</v>
      </c>
      <c r="R53" t="s">
        <v>688</v>
      </c>
      <c r="S53">
        <f>YEAR(Cleaned_data[[#This Row],[Date_Hired]])</f>
        <v>2021</v>
      </c>
    </row>
    <row r="54" spans="1:19" x14ac:dyDescent="0.25">
      <c r="A54" t="s">
        <v>220</v>
      </c>
      <c r="B54" t="s">
        <v>221</v>
      </c>
      <c r="C54" t="s">
        <v>39</v>
      </c>
      <c r="D54" t="s">
        <v>74</v>
      </c>
      <c r="E54" t="s">
        <v>27</v>
      </c>
      <c r="F54">
        <v>29</v>
      </c>
      <c r="G54" s="10">
        <v>44214</v>
      </c>
      <c r="H54" s="10"/>
      <c r="I54" t="s">
        <v>20</v>
      </c>
      <c r="J54">
        <v>4</v>
      </c>
      <c r="L54">
        <v>18.399999999999999</v>
      </c>
      <c r="M54" t="s">
        <v>21</v>
      </c>
      <c r="N54" s="15">
        <v>212867.47</v>
      </c>
      <c r="O54" t="s">
        <v>22</v>
      </c>
      <c r="P54">
        <v>5.4</v>
      </c>
      <c r="Q54" t="s">
        <v>683</v>
      </c>
      <c r="R54" t="s">
        <v>688</v>
      </c>
      <c r="S54">
        <f>YEAR(Cleaned_data[[#This Row],[Date_Hired]])</f>
        <v>2021</v>
      </c>
    </row>
    <row r="55" spans="1:19" x14ac:dyDescent="0.25">
      <c r="A55" t="s">
        <v>223</v>
      </c>
      <c r="B55" t="s">
        <v>224</v>
      </c>
      <c r="C55" t="s">
        <v>65</v>
      </c>
      <c r="D55" t="s">
        <v>87</v>
      </c>
      <c r="E55" t="s">
        <v>18</v>
      </c>
      <c r="F55">
        <v>52</v>
      </c>
      <c r="G55" s="10">
        <v>44189</v>
      </c>
      <c r="H55" s="10"/>
      <c r="I55" t="s">
        <v>20</v>
      </c>
      <c r="J55">
        <v>10</v>
      </c>
      <c r="L55">
        <v>18.8</v>
      </c>
      <c r="M55" t="s">
        <v>36</v>
      </c>
      <c r="N55" s="15">
        <v>443985.51</v>
      </c>
      <c r="O55" t="s">
        <v>22</v>
      </c>
      <c r="P55">
        <v>5.4</v>
      </c>
      <c r="Q55" t="s">
        <v>687</v>
      </c>
      <c r="R55" t="s">
        <v>686</v>
      </c>
      <c r="S55">
        <f>YEAR(Cleaned_data[[#This Row],[Date_Hired]])</f>
        <v>2020</v>
      </c>
    </row>
    <row r="56" spans="1:19" x14ac:dyDescent="0.25">
      <c r="A56" t="s">
        <v>226</v>
      </c>
      <c r="B56" t="s">
        <v>227</v>
      </c>
      <c r="C56" t="s">
        <v>79</v>
      </c>
      <c r="D56" t="s">
        <v>40</v>
      </c>
      <c r="E56" t="s">
        <v>18</v>
      </c>
      <c r="F56">
        <v>31</v>
      </c>
      <c r="G56" s="10">
        <v>45182</v>
      </c>
      <c r="H56" s="10"/>
      <c r="I56" t="s">
        <v>20</v>
      </c>
      <c r="J56">
        <v>1</v>
      </c>
      <c r="L56">
        <v>6.4</v>
      </c>
      <c r="M56" t="s">
        <v>71</v>
      </c>
      <c r="N56" s="15">
        <v>230025.85</v>
      </c>
      <c r="O56" t="s">
        <v>22</v>
      </c>
      <c r="P56">
        <v>2.7</v>
      </c>
      <c r="Q56" t="s">
        <v>685</v>
      </c>
      <c r="R56" t="s">
        <v>688</v>
      </c>
      <c r="S56">
        <f>YEAR(Cleaned_data[[#This Row],[Date_Hired]])</f>
        <v>2023</v>
      </c>
    </row>
    <row r="57" spans="1:19" x14ac:dyDescent="0.25">
      <c r="A57" t="s">
        <v>229</v>
      </c>
      <c r="B57" t="s">
        <v>230</v>
      </c>
      <c r="C57" t="s">
        <v>16</v>
      </c>
      <c r="D57" t="s">
        <v>17</v>
      </c>
      <c r="E57" t="s">
        <v>18</v>
      </c>
      <c r="F57">
        <v>50</v>
      </c>
      <c r="G57" s="10">
        <v>44511</v>
      </c>
      <c r="H57" s="10"/>
      <c r="I57" t="s">
        <v>20</v>
      </c>
      <c r="J57">
        <v>1</v>
      </c>
      <c r="L57">
        <v>14.9</v>
      </c>
      <c r="M57" t="s">
        <v>36</v>
      </c>
      <c r="N57" s="15">
        <v>233132.05</v>
      </c>
      <c r="O57" t="s">
        <v>22</v>
      </c>
      <c r="P57">
        <v>4.5</v>
      </c>
      <c r="Q57" t="s">
        <v>689</v>
      </c>
      <c r="R57" t="s">
        <v>688</v>
      </c>
      <c r="S57">
        <f>YEAR(Cleaned_data[[#This Row],[Date_Hired]])</f>
        <v>2021</v>
      </c>
    </row>
    <row r="58" spans="1:19" x14ac:dyDescent="0.25">
      <c r="A58" t="s">
        <v>232</v>
      </c>
      <c r="B58" t="s">
        <v>64</v>
      </c>
      <c r="C58" t="s">
        <v>65</v>
      </c>
      <c r="D58" t="s">
        <v>40</v>
      </c>
      <c r="E58" t="s">
        <v>18</v>
      </c>
      <c r="F58">
        <v>58</v>
      </c>
      <c r="G58" s="10">
        <v>43632</v>
      </c>
      <c r="H58" s="10">
        <v>44527</v>
      </c>
      <c r="I58" t="s">
        <v>59</v>
      </c>
      <c r="J58">
        <v>5</v>
      </c>
      <c r="L58">
        <v>6</v>
      </c>
      <c r="M58" t="s">
        <v>71</v>
      </c>
      <c r="N58" s="15">
        <v>328330.82</v>
      </c>
      <c r="O58" t="s">
        <v>31</v>
      </c>
      <c r="P58">
        <v>2.5</v>
      </c>
      <c r="Q58" t="s">
        <v>687</v>
      </c>
      <c r="R58" t="s">
        <v>686</v>
      </c>
      <c r="S58">
        <f>YEAR(Cleaned_data[[#This Row],[Date_Hired]])</f>
        <v>2019</v>
      </c>
    </row>
    <row r="59" spans="1:19" x14ac:dyDescent="0.25">
      <c r="A59" t="s">
        <v>233</v>
      </c>
      <c r="B59" t="s">
        <v>234</v>
      </c>
      <c r="C59" t="s">
        <v>112</v>
      </c>
      <c r="D59" t="s">
        <v>51</v>
      </c>
      <c r="E59" t="s">
        <v>18</v>
      </c>
      <c r="F59">
        <v>28</v>
      </c>
      <c r="G59" s="10">
        <v>44866</v>
      </c>
      <c r="H59" s="10">
        <v>46251</v>
      </c>
      <c r="I59" t="s">
        <v>59</v>
      </c>
      <c r="J59">
        <v>1</v>
      </c>
      <c r="L59">
        <v>18.7</v>
      </c>
      <c r="M59" t="s">
        <v>42</v>
      </c>
      <c r="N59" s="15">
        <v>1184149.05</v>
      </c>
      <c r="O59" t="s">
        <v>31</v>
      </c>
      <c r="P59">
        <v>3.8</v>
      </c>
      <c r="Q59" t="s">
        <v>683</v>
      </c>
      <c r="R59" t="s">
        <v>690</v>
      </c>
      <c r="S59">
        <f>YEAR(Cleaned_data[[#This Row],[Date_Hired]])</f>
        <v>2022</v>
      </c>
    </row>
    <row r="60" spans="1:19" x14ac:dyDescent="0.25">
      <c r="A60" t="s">
        <v>237</v>
      </c>
      <c r="B60" t="s">
        <v>238</v>
      </c>
      <c r="C60" t="s">
        <v>112</v>
      </c>
      <c r="D60" t="s">
        <v>87</v>
      </c>
      <c r="E60" t="s">
        <v>27</v>
      </c>
      <c r="F60">
        <v>42</v>
      </c>
      <c r="G60" s="10">
        <v>44818</v>
      </c>
      <c r="H60" s="10"/>
      <c r="I60" t="s">
        <v>20</v>
      </c>
      <c r="J60">
        <v>1</v>
      </c>
      <c r="L60">
        <v>0.9</v>
      </c>
      <c r="M60" t="s">
        <v>21</v>
      </c>
      <c r="N60" s="15">
        <v>961567.63</v>
      </c>
      <c r="O60" t="s">
        <v>22</v>
      </c>
      <c r="P60">
        <v>3.7</v>
      </c>
      <c r="Q60" t="s">
        <v>689</v>
      </c>
      <c r="R60" t="s">
        <v>684</v>
      </c>
      <c r="S60">
        <f>YEAR(Cleaned_data[[#This Row],[Date_Hired]])</f>
        <v>2022</v>
      </c>
    </row>
    <row r="61" spans="1:19" x14ac:dyDescent="0.25">
      <c r="A61" t="s">
        <v>240</v>
      </c>
      <c r="B61" t="s">
        <v>210</v>
      </c>
      <c r="C61" t="s">
        <v>50</v>
      </c>
      <c r="D61" t="s">
        <v>40</v>
      </c>
      <c r="E61" t="s">
        <v>18</v>
      </c>
      <c r="F61">
        <v>46</v>
      </c>
      <c r="G61" s="10">
        <v>44777</v>
      </c>
      <c r="H61" s="10"/>
      <c r="I61" t="s">
        <v>20</v>
      </c>
      <c r="J61">
        <v>2</v>
      </c>
      <c r="L61">
        <v>-4.5999999999999996</v>
      </c>
      <c r="M61" t="s">
        <v>71</v>
      </c>
      <c r="N61" s="15">
        <v>718000</v>
      </c>
      <c r="O61" t="s">
        <v>22</v>
      </c>
      <c r="P61">
        <v>3.8</v>
      </c>
      <c r="Q61" t="s">
        <v>689</v>
      </c>
      <c r="R61" t="s">
        <v>684</v>
      </c>
      <c r="S61">
        <f>YEAR(Cleaned_data[[#This Row],[Date_Hired]])</f>
        <v>2022</v>
      </c>
    </row>
    <row r="62" spans="1:19" x14ac:dyDescent="0.25">
      <c r="A62" t="s">
        <v>242</v>
      </c>
      <c r="B62" t="s">
        <v>243</v>
      </c>
      <c r="C62" t="s">
        <v>79</v>
      </c>
      <c r="D62" t="s">
        <v>74</v>
      </c>
      <c r="E62" t="s">
        <v>18</v>
      </c>
      <c r="F62">
        <v>51</v>
      </c>
      <c r="G62" s="10">
        <v>44246</v>
      </c>
      <c r="H62" s="10"/>
      <c r="I62" t="s">
        <v>20</v>
      </c>
      <c r="J62">
        <v>2</v>
      </c>
      <c r="L62">
        <v>9.6999999999999993</v>
      </c>
      <c r="M62" t="s">
        <v>71</v>
      </c>
      <c r="N62" s="15">
        <v>1018907.4</v>
      </c>
      <c r="O62" t="s">
        <v>22</v>
      </c>
      <c r="P62">
        <v>5.3</v>
      </c>
      <c r="Q62" t="s">
        <v>687</v>
      </c>
      <c r="R62" t="s">
        <v>690</v>
      </c>
      <c r="S62">
        <f>YEAR(Cleaned_data[[#This Row],[Date_Hired]])</f>
        <v>2021</v>
      </c>
    </row>
    <row r="63" spans="1:19" x14ac:dyDescent="0.25">
      <c r="A63" t="s">
        <v>245</v>
      </c>
      <c r="B63" t="s">
        <v>246</v>
      </c>
      <c r="C63" t="s">
        <v>112</v>
      </c>
      <c r="D63" t="s">
        <v>96</v>
      </c>
      <c r="E63" t="s">
        <v>27</v>
      </c>
      <c r="F63">
        <v>30</v>
      </c>
      <c r="G63" s="10">
        <v>44685</v>
      </c>
      <c r="H63" s="10"/>
      <c r="I63" t="s">
        <v>20</v>
      </c>
      <c r="J63">
        <v>5</v>
      </c>
      <c r="L63">
        <v>8.8000000000000007</v>
      </c>
      <c r="M63" t="s">
        <v>21</v>
      </c>
      <c r="N63" s="15">
        <v>780556.51</v>
      </c>
      <c r="O63" t="s">
        <v>22</v>
      </c>
      <c r="P63">
        <v>4.0999999999999996</v>
      </c>
      <c r="Q63" t="s">
        <v>685</v>
      </c>
      <c r="R63" t="s">
        <v>684</v>
      </c>
      <c r="S63">
        <f>YEAR(Cleaned_data[[#This Row],[Date_Hired]])</f>
        <v>2022</v>
      </c>
    </row>
    <row r="64" spans="1:19" x14ac:dyDescent="0.25">
      <c r="A64" t="s">
        <v>248</v>
      </c>
      <c r="B64" t="s">
        <v>249</v>
      </c>
      <c r="C64" t="s">
        <v>45</v>
      </c>
      <c r="D64" t="s">
        <v>80</v>
      </c>
      <c r="E64" t="s">
        <v>18</v>
      </c>
      <c r="F64">
        <v>30</v>
      </c>
      <c r="G64" s="10">
        <v>44644</v>
      </c>
      <c r="H64" s="10"/>
      <c r="I64" t="s">
        <v>20</v>
      </c>
      <c r="J64">
        <v>4</v>
      </c>
      <c r="L64">
        <v>3.5</v>
      </c>
      <c r="M64" t="s">
        <v>42</v>
      </c>
      <c r="N64" s="15">
        <v>408153.91</v>
      </c>
      <c r="O64" t="s">
        <v>22</v>
      </c>
      <c r="P64">
        <v>4.2</v>
      </c>
      <c r="Q64" t="s">
        <v>685</v>
      </c>
      <c r="R64" t="s">
        <v>686</v>
      </c>
      <c r="S64">
        <f>YEAR(Cleaned_data[[#This Row],[Date_Hired]])</f>
        <v>2022</v>
      </c>
    </row>
    <row r="65" spans="1:19" x14ac:dyDescent="0.25">
      <c r="A65" t="s">
        <v>251</v>
      </c>
      <c r="B65" t="s">
        <v>252</v>
      </c>
      <c r="C65" t="s">
        <v>39</v>
      </c>
      <c r="D65" t="s">
        <v>96</v>
      </c>
      <c r="E65" t="s">
        <v>27</v>
      </c>
      <c r="F65">
        <v>36</v>
      </c>
      <c r="G65" s="10">
        <v>44684</v>
      </c>
      <c r="H65" s="10"/>
      <c r="I65" t="s">
        <v>20</v>
      </c>
      <c r="J65">
        <v>5</v>
      </c>
      <c r="L65">
        <v>12.4</v>
      </c>
      <c r="M65" t="s">
        <v>71</v>
      </c>
      <c r="N65" s="15">
        <v>687552.88</v>
      </c>
      <c r="O65" t="s">
        <v>22</v>
      </c>
      <c r="P65">
        <v>4.0999999999999996</v>
      </c>
      <c r="Q65" t="s">
        <v>685</v>
      </c>
      <c r="R65" t="s">
        <v>686</v>
      </c>
      <c r="S65">
        <f>YEAR(Cleaned_data[[#This Row],[Date_Hired]])</f>
        <v>2022</v>
      </c>
    </row>
    <row r="66" spans="1:19" x14ac:dyDescent="0.25">
      <c r="A66" t="s">
        <v>254</v>
      </c>
      <c r="B66" t="s">
        <v>255</v>
      </c>
      <c r="C66" t="s">
        <v>65</v>
      </c>
      <c r="D66" t="s">
        <v>74</v>
      </c>
      <c r="E66" t="s">
        <v>18</v>
      </c>
      <c r="F66">
        <v>43</v>
      </c>
      <c r="G66" s="10">
        <v>43938</v>
      </c>
      <c r="H66" s="10">
        <v>45074</v>
      </c>
      <c r="I66" t="s">
        <v>30</v>
      </c>
      <c r="J66">
        <v>2</v>
      </c>
      <c r="L66">
        <v>12.4</v>
      </c>
      <c r="M66" t="s">
        <v>21</v>
      </c>
      <c r="N66" s="15">
        <v>630800.52</v>
      </c>
      <c r="O66" t="s">
        <v>31</v>
      </c>
      <c r="P66">
        <v>3.1</v>
      </c>
      <c r="Q66" t="s">
        <v>689</v>
      </c>
      <c r="R66" t="s">
        <v>686</v>
      </c>
      <c r="S66">
        <f>YEAR(Cleaned_data[[#This Row],[Date_Hired]])</f>
        <v>2020</v>
      </c>
    </row>
    <row r="67" spans="1:19" x14ac:dyDescent="0.25">
      <c r="A67" t="s">
        <v>258</v>
      </c>
      <c r="B67" t="s">
        <v>259</v>
      </c>
      <c r="C67" t="s">
        <v>79</v>
      </c>
      <c r="D67" t="s">
        <v>80</v>
      </c>
      <c r="E67" t="s">
        <v>18</v>
      </c>
      <c r="F67">
        <v>43</v>
      </c>
      <c r="G67" s="10">
        <v>43494</v>
      </c>
      <c r="H67" s="10"/>
      <c r="I67" t="s">
        <v>20</v>
      </c>
      <c r="J67">
        <v>4</v>
      </c>
      <c r="L67">
        <v>18.8</v>
      </c>
      <c r="M67" t="s">
        <v>42</v>
      </c>
      <c r="N67" s="15">
        <v>1395490.7</v>
      </c>
      <c r="O67" t="s">
        <v>22</v>
      </c>
      <c r="P67">
        <v>7.3</v>
      </c>
      <c r="Q67" t="s">
        <v>689</v>
      </c>
      <c r="R67" t="s">
        <v>690</v>
      </c>
      <c r="S67">
        <f>YEAR(Cleaned_data[[#This Row],[Date_Hired]])</f>
        <v>2019</v>
      </c>
    </row>
    <row r="68" spans="1:19" x14ac:dyDescent="0.25">
      <c r="A68" t="s">
        <v>261</v>
      </c>
      <c r="B68" t="s">
        <v>262</v>
      </c>
      <c r="C68" t="s">
        <v>16</v>
      </c>
      <c r="D68" t="s">
        <v>40</v>
      </c>
      <c r="E68" t="s">
        <v>27</v>
      </c>
      <c r="F68">
        <v>26</v>
      </c>
      <c r="G68" s="10">
        <v>43580</v>
      </c>
      <c r="H68" s="10"/>
      <c r="I68" t="s">
        <v>20</v>
      </c>
      <c r="J68">
        <v>2</v>
      </c>
      <c r="L68">
        <v>13.8</v>
      </c>
      <c r="M68" t="s">
        <v>21</v>
      </c>
      <c r="N68" s="15">
        <v>1441418.56</v>
      </c>
      <c r="O68" t="s">
        <v>22</v>
      </c>
      <c r="P68">
        <v>7.1</v>
      </c>
      <c r="Q68" t="s">
        <v>683</v>
      </c>
      <c r="R68" t="s">
        <v>690</v>
      </c>
      <c r="S68">
        <f>YEAR(Cleaned_data[[#This Row],[Date_Hired]])</f>
        <v>2019</v>
      </c>
    </row>
    <row r="69" spans="1:19" x14ac:dyDescent="0.25">
      <c r="A69" t="s">
        <v>264</v>
      </c>
      <c r="B69" t="s">
        <v>265</v>
      </c>
      <c r="C69" t="s">
        <v>16</v>
      </c>
      <c r="D69" t="s">
        <v>74</v>
      </c>
      <c r="E69" t="s">
        <v>18</v>
      </c>
      <c r="F69">
        <v>39</v>
      </c>
      <c r="G69" s="10">
        <v>44399</v>
      </c>
      <c r="H69" s="10"/>
      <c r="I69" t="s">
        <v>20</v>
      </c>
      <c r="J69">
        <v>1</v>
      </c>
      <c r="L69">
        <v>8.4</v>
      </c>
      <c r="M69" t="s">
        <v>36</v>
      </c>
      <c r="N69" s="15">
        <v>672132.95</v>
      </c>
      <c r="O69" t="s">
        <v>22</v>
      </c>
      <c r="P69">
        <v>4.9000000000000004</v>
      </c>
      <c r="Q69" t="s">
        <v>685</v>
      </c>
      <c r="R69" t="s">
        <v>686</v>
      </c>
      <c r="S69">
        <f>YEAR(Cleaned_data[[#This Row],[Date_Hired]])</f>
        <v>2021</v>
      </c>
    </row>
    <row r="70" spans="1:19" x14ac:dyDescent="0.25">
      <c r="A70" t="s">
        <v>267</v>
      </c>
      <c r="B70" t="s">
        <v>268</v>
      </c>
      <c r="C70" t="s">
        <v>112</v>
      </c>
      <c r="D70" t="s">
        <v>87</v>
      </c>
      <c r="E70" t="s">
        <v>27</v>
      </c>
      <c r="F70">
        <v>44</v>
      </c>
      <c r="G70" s="10">
        <v>45180</v>
      </c>
      <c r="H70" s="10">
        <v>46148</v>
      </c>
      <c r="I70" t="s">
        <v>59</v>
      </c>
      <c r="J70">
        <v>3</v>
      </c>
      <c r="L70">
        <v>18.899999999999999</v>
      </c>
      <c r="M70" t="s">
        <v>42</v>
      </c>
      <c r="N70" s="15">
        <v>940479.45</v>
      </c>
      <c r="O70" t="s">
        <v>31</v>
      </c>
      <c r="P70">
        <v>2.7</v>
      </c>
      <c r="Q70" t="s">
        <v>689</v>
      </c>
      <c r="R70" t="s">
        <v>684</v>
      </c>
      <c r="S70">
        <f>YEAR(Cleaned_data[[#This Row],[Date_Hired]])</f>
        <v>2023</v>
      </c>
    </row>
    <row r="71" spans="1:19" x14ac:dyDescent="0.25">
      <c r="A71" t="s">
        <v>271</v>
      </c>
      <c r="B71" t="s">
        <v>149</v>
      </c>
      <c r="C71" t="s">
        <v>79</v>
      </c>
      <c r="D71" t="s">
        <v>87</v>
      </c>
      <c r="E71" t="s">
        <v>18</v>
      </c>
      <c r="F71">
        <v>48</v>
      </c>
      <c r="G71" s="10">
        <v>43638</v>
      </c>
      <c r="H71" s="10">
        <v>45448</v>
      </c>
      <c r="I71" t="s">
        <v>30</v>
      </c>
      <c r="J71">
        <v>3</v>
      </c>
      <c r="L71">
        <v>11</v>
      </c>
      <c r="M71" t="s">
        <v>47</v>
      </c>
      <c r="N71" s="15">
        <v>1461221.2</v>
      </c>
      <c r="O71" t="s">
        <v>31</v>
      </c>
      <c r="P71">
        <v>5</v>
      </c>
      <c r="Q71" t="s">
        <v>689</v>
      </c>
      <c r="R71" t="s">
        <v>690</v>
      </c>
      <c r="S71">
        <f>YEAR(Cleaned_data[[#This Row],[Date_Hired]])</f>
        <v>2019</v>
      </c>
    </row>
    <row r="72" spans="1:19" x14ac:dyDescent="0.25">
      <c r="A72" t="s">
        <v>274</v>
      </c>
      <c r="B72" t="s">
        <v>275</v>
      </c>
      <c r="C72" t="s">
        <v>16</v>
      </c>
      <c r="D72" t="s">
        <v>26</v>
      </c>
      <c r="E72" t="s">
        <v>18</v>
      </c>
      <c r="F72">
        <v>35</v>
      </c>
      <c r="G72" s="10">
        <v>43591</v>
      </c>
      <c r="H72" s="10">
        <v>45285</v>
      </c>
      <c r="I72" t="s">
        <v>30</v>
      </c>
      <c r="J72">
        <v>5</v>
      </c>
      <c r="L72">
        <v>18.100000000000001</v>
      </c>
      <c r="M72" t="s">
        <v>71</v>
      </c>
      <c r="N72" s="15">
        <v>684195.57</v>
      </c>
      <c r="O72" t="s">
        <v>31</v>
      </c>
      <c r="P72">
        <v>4.5999999999999996</v>
      </c>
      <c r="Q72" t="s">
        <v>685</v>
      </c>
      <c r="R72" t="s">
        <v>686</v>
      </c>
      <c r="S72">
        <f>YEAR(Cleaned_data[[#This Row],[Date_Hired]])</f>
        <v>2019</v>
      </c>
    </row>
    <row r="73" spans="1:19" x14ac:dyDescent="0.25">
      <c r="A73" t="s">
        <v>277</v>
      </c>
      <c r="B73" t="s">
        <v>278</v>
      </c>
      <c r="C73" t="s">
        <v>39</v>
      </c>
      <c r="D73" t="s">
        <v>96</v>
      </c>
      <c r="E73" t="s">
        <v>27</v>
      </c>
      <c r="F73">
        <v>43</v>
      </c>
      <c r="G73" s="10">
        <v>44667</v>
      </c>
      <c r="H73" s="10">
        <v>45435</v>
      </c>
      <c r="I73" t="s">
        <v>59</v>
      </c>
      <c r="J73">
        <v>0</v>
      </c>
      <c r="L73">
        <v>2.7</v>
      </c>
      <c r="M73" t="s">
        <v>36</v>
      </c>
      <c r="N73" s="15">
        <v>479788.22</v>
      </c>
      <c r="O73" t="s">
        <v>31</v>
      </c>
      <c r="P73">
        <v>2.1</v>
      </c>
      <c r="Q73" t="s">
        <v>689</v>
      </c>
      <c r="R73" t="s">
        <v>686</v>
      </c>
      <c r="S73">
        <f>YEAR(Cleaned_data[[#This Row],[Date_Hired]])</f>
        <v>2022</v>
      </c>
    </row>
    <row r="74" spans="1:19" x14ac:dyDescent="0.25">
      <c r="A74" t="s">
        <v>281</v>
      </c>
      <c r="B74" t="s">
        <v>127</v>
      </c>
      <c r="C74" t="s">
        <v>45</v>
      </c>
      <c r="D74" t="s">
        <v>40</v>
      </c>
      <c r="E74" t="s">
        <v>18</v>
      </c>
      <c r="F74">
        <v>56</v>
      </c>
      <c r="G74" s="10">
        <v>44299</v>
      </c>
      <c r="H74" s="10">
        <v>44786</v>
      </c>
      <c r="I74" t="s">
        <v>30</v>
      </c>
      <c r="J74">
        <v>1</v>
      </c>
      <c r="L74">
        <v>12.4</v>
      </c>
      <c r="M74" t="s">
        <v>21</v>
      </c>
      <c r="N74" s="15">
        <v>934800.46</v>
      </c>
      <c r="O74" t="s">
        <v>31</v>
      </c>
      <c r="P74">
        <v>1.3</v>
      </c>
      <c r="Q74" t="s">
        <v>687</v>
      </c>
      <c r="R74" t="s">
        <v>684</v>
      </c>
      <c r="S74">
        <f>YEAR(Cleaned_data[[#This Row],[Date_Hired]])</f>
        <v>2021</v>
      </c>
    </row>
    <row r="75" spans="1:19" x14ac:dyDescent="0.25">
      <c r="A75" t="s">
        <v>284</v>
      </c>
      <c r="B75" t="s">
        <v>285</v>
      </c>
      <c r="C75" t="s">
        <v>50</v>
      </c>
      <c r="D75" t="s">
        <v>26</v>
      </c>
      <c r="E75" t="s">
        <v>18</v>
      </c>
      <c r="F75">
        <v>58</v>
      </c>
      <c r="G75" s="10">
        <v>44402</v>
      </c>
      <c r="H75" s="10"/>
      <c r="I75" t="s">
        <v>20</v>
      </c>
      <c r="J75">
        <v>1</v>
      </c>
      <c r="L75">
        <v>14</v>
      </c>
      <c r="M75" t="s">
        <v>47</v>
      </c>
      <c r="N75" s="15">
        <v>1107539.26</v>
      </c>
      <c r="O75" t="s">
        <v>22</v>
      </c>
      <c r="P75">
        <v>4.8</v>
      </c>
      <c r="Q75" t="s">
        <v>687</v>
      </c>
      <c r="R75" t="s">
        <v>690</v>
      </c>
      <c r="S75">
        <f>YEAR(Cleaned_data[[#This Row],[Date_Hired]])</f>
        <v>2021</v>
      </c>
    </row>
    <row r="76" spans="1:19" x14ac:dyDescent="0.25">
      <c r="A76" t="s">
        <v>287</v>
      </c>
      <c r="B76" t="s">
        <v>285</v>
      </c>
      <c r="C76" t="s">
        <v>112</v>
      </c>
      <c r="D76" t="s">
        <v>80</v>
      </c>
      <c r="E76" t="s">
        <v>27</v>
      </c>
      <c r="F76">
        <v>38</v>
      </c>
      <c r="G76" s="10">
        <v>43928</v>
      </c>
      <c r="H76" s="10">
        <v>44163</v>
      </c>
      <c r="I76" t="s">
        <v>59</v>
      </c>
      <c r="J76">
        <v>2</v>
      </c>
      <c r="L76">
        <v>16.600000000000001</v>
      </c>
      <c r="M76" t="s">
        <v>71</v>
      </c>
      <c r="N76" s="15">
        <v>718000</v>
      </c>
      <c r="O76" t="s">
        <v>31</v>
      </c>
      <c r="P76">
        <v>0.6</v>
      </c>
      <c r="Q76" t="s">
        <v>685</v>
      </c>
      <c r="R76" t="s">
        <v>684</v>
      </c>
      <c r="S76">
        <f>YEAR(Cleaned_data[[#This Row],[Date_Hired]])</f>
        <v>2020</v>
      </c>
    </row>
    <row r="77" spans="1:19" x14ac:dyDescent="0.25">
      <c r="A77" t="s">
        <v>290</v>
      </c>
      <c r="B77" t="s">
        <v>291</v>
      </c>
      <c r="C77" t="s">
        <v>65</v>
      </c>
      <c r="D77" t="s">
        <v>17</v>
      </c>
      <c r="E77" t="s">
        <v>18</v>
      </c>
      <c r="F77">
        <v>33</v>
      </c>
      <c r="G77" s="10">
        <v>43960</v>
      </c>
      <c r="H77" s="10"/>
      <c r="I77" t="s">
        <v>20</v>
      </c>
      <c r="J77">
        <v>2</v>
      </c>
      <c r="L77">
        <v>13.4</v>
      </c>
      <c r="M77" t="s">
        <v>36</v>
      </c>
      <c r="N77" s="15">
        <v>159893.42000000001</v>
      </c>
      <c r="O77" t="s">
        <v>22</v>
      </c>
      <c r="P77">
        <v>6.1</v>
      </c>
      <c r="Q77" t="s">
        <v>685</v>
      </c>
      <c r="R77" t="s">
        <v>688</v>
      </c>
      <c r="S77">
        <f>YEAR(Cleaned_data[[#This Row],[Date_Hired]])</f>
        <v>2020</v>
      </c>
    </row>
    <row r="78" spans="1:19" x14ac:dyDescent="0.25">
      <c r="A78" t="s">
        <v>293</v>
      </c>
      <c r="B78" t="s">
        <v>294</v>
      </c>
      <c r="C78" t="s">
        <v>112</v>
      </c>
      <c r="D78" t="s">
        <v>87</v>
      </c>
      <c r="E78" t="s">
        <v>27</v>
      </c>
      <c r="F78">
        <v>40</v>
      </c>
      <c r="G78" s="10">
        <v>45012</v>
      </c>
      <c r="H78" s="10"/>
      <c r="I78" t="s">
        <v>20</v>
      </c>
      <c r="J78">
        <v>1</v>
      </c>
      <c r="L78">
        <v>5.9</v>
      </c>
      <c r="M78" t="s">
        <v>47</v>
      </c>
      <c r="N78" s="15">
        <v>1158196.58</v>
      </c>
      <c r="O78" t="s">
        <v>22</v>
      </c>
      <c r="P78">
        <v>3.2</v>
      </c>
      <c r="Q78" t="s">
        <v>685</v>
      </c>
      <c r="R78" t="s">
        <v>690</v>
      </c>
      <c r="S78">
        <f>YEAR(Cleaned_data[[#This Row],[Date_Hired]])</f>
        <v>2023</v>
      </c>
    </row>
    <row r="79" spans="1:19" x14ac:dyDescent="0.25">
      <c r="A79" t="s">
        <v>296</v>
      </c>
      <c r="B79" t="s">
        <v>297</v>
      </c>
      <c r="C79" t="s">
        <v>112</v>
      </c>
      <c r="D79" t="s">
        <v>80</v>
      </c>
      <c r="E79" t="s">
        <v>27</v>
      </c>
      <c r="F79">
        <v>49</v>
      </c>
      <c r="G79" s="10">
        <v>44806</v>
      </c>
      <c r="H79" s="10">
        <v>45818</v>
      </c>
      <c r="I79" t="s">
        <v>59</v>
      </c>
      <c r="J79">
        <v>1</v>
      </c>
      <c r="L79">
        <v>19</v>
      </c>
      <c r="M79" t="s">
        <v>21</v>
      </c>
      <c r="N79" s="15">
        <v>1065867.54</v>
      </c>
      <c r="O79" t="s">
        <v>31</v>
      </c>
      <c r="P79">
        <v>2.8</v>
      </c>
      <c r="Q79" t="s">
        <v>689</v>
      </c>
      <c r="R79" t="s">
        <v>690</v>
      </c>
      <c r="S79">
        <f>YEAR(Cleaned_data[[#This Row],[Date_Hired]])</f>
        <v>2022</v>
      </c>
    </row>
    <row r="80" spans="1:19" x14ac:dyDescent="0.25">
      <c r="A80" t="s">
        <v>300</v>
      </c>
      <c r="B80" t="s">
        <v>301</v>
      </c>
      <c r="C80" t="s">
        <v>79</v>
      </c>
      <c r="D80" t="s">
        <v>26</v>
      </c>
      <c r="E80" t="s">
        <v>27</v>
      </c>
      <c r="F80">
        <v>23</v>
      </c>
      <c r="G80" s="10">
        <v>43531</v>
      </c>
      <c r="H80" s="10">
        <v>43989</v>
      </c>
      <c r="I80" t="s">
        <v>30</v>
      </c>
      <c r="J80">
        <v>1</v>
      </c>
      <c r="L80">
        <v>3.2</v>
      </c>
      <c r="M80" t="s">
        <v>36</v>
      </c>
      <c r="N80" s="15">
        <v>821058.13</v>
      </c>
      <c r="O80" t="s">
        <v>31</v>
      </c>
      <c r="P80">
        <v>1.3</v>
      </c>
      <c r="Q80" t="s">
        <v>683</v>
      </c>
      <c r="R80" t="s">
        <v>684</v>
      </c>
      <c r="S80">
        <f>YEAR(Cleaned_data[[#This Row],[Date_Hired]])</f>
        <v>2019</v>
      </c>
    </row>
    <row r="81" spans="1:19" x14ac:dyDescent="0.25">
      <c r="A81" t="s">
        <v>304</v>
      </c>
      <c r="B81" t="s">
        <v>305</v>
      </c>
      <c r="C81" t="s">
        <v>65</v>
      </c>
      <c r="D81" t="s">
        <v>26</v>
      </c>
      <c r="E81" t="s">
        <v>27</v>
      </c>
      <c r="F81">
        <v>34</v>
      </c>
      <c r="G81" s="10">
        <v>43995</v>
      </c>
      <c r="H81" s="10">
        <v>45103</v>
      </c>
      <c r="I81" t="s">
        <v>30</v>
      </c>
      <c r="J81">
        <v>1</v>
      </c>
      <c r="L81">
        <v>16.399999999999999</v>
      </c>
      <c r="M81" t="s">
        <v>47</v>
      </c>
      <c r="N81" s="15">
        <v>938504.62</v>
      </c>
      <c r="O81" t="s">
        <v>31</v>
      </c>
      <c r="P81">
        <v>3</v>
      </c>
      <c r="Q81" t="s">
        <v>685</v>
      </c>
      <c r="R81" t="s">
        <v>684</v>
      </c>
      <c r="S81">
        <f>YEAR(Cleaned_data[[#This Row],[Date_Hired]])</f>
        <v>2020</v>
      </c>
    </row>
    <row r="82" spans="1:19" x14ac:dyDescent="0.25">
      <c r="A82" t="s">
        <v>304</v>
      </c>
      <c r="B82" t="s">
        <v>308</v>
      </c>
      <c r="C82" t="s">
        <v>39</v>
      </c>
      <c r="D82" t="s">
        <v>51</v>
      </c>
      <c r="E82" t="s">
        <v>27</v>
      </c>
      <c r="F82">
        <v>27</v>
      </c>
      <c r="G82" s="10">
        <v>45279</v>
      </c>
      <c r="H82" s="10"/>
      <c r="I82" t="s">
        <v>20</v>
      </c>
      <c r="J82">
        <v>1</v>
      </c>
      <c r="L82">
        <v>1.7</v>
      </c>
      <c r="M82" t="s">
        <v>47</v>
      </c>
      <c r="N82" s="15">
        <v>264131.53999999998</v>
      </c>
      <c r="O82" t="s">
        <v>22</v>
      </c>
      <c r="P82">
        <v>2.4</v>
      </c>
      <c r="Q82" t="s">
        <v>683</v>
      </c>
      <c r="R82" t="s">
        <v>688</v>
      </c>
      <c r="S82">
        <f>YEAR(Cleaned_data[[#This Row],[Date_Hired]])</f>
        <v>2023</v>
      </c>
    </row>
    <row r="83" spans="1:19" x14ac:dyDescent="0.25">
      <c r="A83" t="s">
        <v>311</v>
      </c>
      <c r="B83" t="s">
        <v>312</v>
      </c>
      <c r="C83" t="s">
        <v>79</v>
      </c>
      <c r="D83" t="s">
        <v>96</v>
      </c>
      <c r="E83" t="s">
        <v>27</v>
      </c>
      <c r="F83">
        <v>50</v>
      </c>
      <c r="G83" s="10">
        <v>44228</v>
      </c>
      <c r="H83" s="10">
        <v>45640</v>
      </c>
      <c r="I83" t="s">
        <v>59</v>
      </c>
      <c r="J83">
        <v>1</v>
      </c>
      <c r="L83">
        <v>2.5</v>
      </c>
      <c r="M83" t="s">
        <v>21</v>
      </c>
      <c r="N83" s="15">
        <v>137072.72</v>
      </c>
      <c r="O83" t="s">
        <v>31</v>
      </c>
      <c r="P83">
        <v>3.9</v>
      </c>
      <c r="Q83" t="s">
        <v>689</v>
      </c>
      <c r="R83" t="s">
        <v>688</v>
      </c>
      <c r="S83">
        <f>YEAR(Cleaned_data[[#This Row],[Date_Hired]])</f>
        <v>2021</v>
      </c>
    </row>
    <row r="84" spans="1:19" x14ac:dyDescent="0.25">
      <c r="A84" t="s">
        <v>315</v>
      </c>
      <c r="B84" t="s">
        <v>217</v>
      </c>
      <c r="C84" t="s">
        <v>25</v>
      </c>
      <c r="D84" t="s">
        <v>96</v>
      </c>
      <c r="E84" t="s">
        <v>27</v>
      </c>
      <c r="F84">
        <v>56</v>
      </c>
      <c r="G84" s="10">
        <v>44398</v>
      </c>
      <c r="H84" s="10"/>
      <c r="I84" t="s">
        <v>20</v>
      </c>
      <c r="J84">
        <v>4</v>
      </c>
      <c r="L84">
        <v>14.8</v>
      </c>
      <c r="M84" t="s">
        <v>47</v>
      </c>
      <c r="N84" s="15">
        <v>437271.07</v>
      </c>
      <c r="O84" t="s">
        <v>22</v>
      </c>
      <c r="P84">
        <v>4.9000000000000004</v>
      </c>
      <c r="Q84" t="s">
        <v>687</v>
      </c>
      <c r="R84" t="s">
        <v>686</v>
      </c>
      <c r="S84">
        <f>YEAR(Cleaned_data[[#This Row],[Date_Hired]])</f>
        <v>2021</v>
      </c>
    </row>
    <row r="85" spans="1:19" x14ac:dyDescent="0.25">
      <c r="A85" t="s">
        <v>317</v>
      </c>
      <c r="B85" t="s">
        <v>318</v>
      </c>
      <c r="C85" t="s">
        <v>50</v>
      </c>
      <c r="D85" t="s">
        <v>87</v>
      </c>
      <c r="E85" t="s">
        <v>691</v>
      </c>
      <c r="F85">
        <v>49</v>
      </c>
      <c r="G85" s="10">
        <v>44010</v>
      </c>
      <c r="H85" s="10"/>
      <c r="I85" t="s">
        <v>20</v>
      </c>
      <c r="J85">
        <v>1</v>
      </c>
      <c r="L85">
        <v>7.4</v>
      </c>
      <c r="M85" t="s">
        <v>42</v>
      </c>
      <c r="N85" s="15">
        <v>884231.78</v>
      </c>
      <c r="O85" t="s">
        <v>22</v>
      </c>
      <c r="P85">
        <v>5.9</v>
      </c>
      <c r="Q85" t="s">
        <v>689</v>
      </c>
      <c r="R85" t="s">
        <v>684</v>
      </c>
      <c r="S85">
        <f>YEAR(Cleaned_data[[#This Row],[Date_Hired]])</f>
        <v>2020</v>
      </c>
    </row>
    <row r="86" spans="1:19" x14ac:dyDescent="0.25">
      <c r="A86" t="s">
        <v>321</v>
      </c>
      <c r="B86" t="s">
        <v>322</v>
      </c>
      <c r="C86" t="s">
        <v>112</v>
      </c>
      <c r="D86" t="s">
        <v>80</v>
      </c>
      <c r="E86" t="s">
        <v>18</v>
      </c>
      <c r="F86">
        <v>50</v>
      </c>
      <c r="G86" s="10">
        <v>44742</v>
      </c>
      <c r="H86" s="10"/>
      <c r="I86" t="s">
        <v>20</v>
      </c>
      <c r="J86">
        <v>4</v>
      </c>
      <c r="L86">
        <v>11.9</v>
      </c>
      <c r="M86" t="s">
        <v>71</v>
      </c>
      <c r="N86" s="15">
        <v>945722.23</v>
      </c>
      <c r="O86" t="s">
        <v>22</v>
      </c>
      <c r="P86">
        <v>3.9</v>
      </c>
      <c r="Q86" t="s">
        <v>689</v>
      </c>
      <c r="R86" t="s">
        <v>684</v>
      </c>
      <c r="S86">
        <f>YEAR(Cleaned_data[[#This Row],[Date_Hired]])</f>
        <v>2022</v>
      </c>
    </row>
    <row r="87" spans="1:19" x14ac:dyDescent="0.25">
      <c r="A87" t="s">
        <v>324</v>
      </c>
      <c r="B87" t="s">
        <v>325</v>
      </c>
      <c r="C87" t="s">
        <v>45</v>
      </c>
      <c r="D87" t="s">
        <v>96</v>
      </c>
      <c r="E87" t="s">
        <v>18</v>
      </c>
      <c r="F87">
        <v>24</v>
      </c>
      <c r="G87" s="10">
        <v>44506</v>
      </c>
      <c r="H87" s="10"/>
      <c r="I87" t="s">
        <v>20</v>
      </c>
      <c r="J87">
        <v>1</v>
      </c>
      <c r="L87">
        <v>0.2</v>
      </c>
      <c r="M87" t="s">
        <v>47</v>
      </c>
      <c r="N87" s="15">
        <v>1260548.3600000001</v>
      </c>
      <c r="O87" t="s">
        <v>22</v>
      </c>
      <c r="P87">
        <v>4.5999999999999996</v>
      </c>
      <c r="Q87" t="s">
        <v>683</v>
      </c>
      <c r="R87" t="s">
        <v>690</v>
      </c>
      <c r="S87">
        <f>YEAR(Cleaned_data[[#This Row],[Date_Hired]])</f>
        <v>2021</v>
      </c>
    </row>
    <row r="88" spans="1:19" x14ac:dyDescent="0.25">
      <c r="A88" t="s">
        <v>327</v>
      </c>
      <c r="B88" t="s">
        <v>328</v>
      </c>
      <c r="C88" t="s">
        <v>112</v>
      </c>
      <c r="D88" t="s">
        <v>96</v>
      </c>
      <c r="E88" t="s">
        <v>27</v>
      </c>
      <c r="F88">
        <v>45</v>
      </c>
      <c r="G88" s="10">
        <v>43823</v>
      </c>
      <c r="H88" s="10">
        <v>44250</v>
      </c>
      <c r="I88" t="s">
        <v>59</v>
      </c>
      <c r="J88">
        <v>3</v>
      </c>
      <c r="L88">
        <v>3.3</v>
      </c>
      <c r="M88" t="s">
        <v>42</v>
      </c>
      <c r="N88" s="15">
        <v>256774.06</v>
      </c>
      <c r="O88" t="s">
        <v>31</v>
      </c>
      <c r="P88">
        <v>1.2</v>
      </c>
      <c r="Q88" t="s">
        <v>689</v>
      </c>
      <c r="R88" t="s">
        <v>688</v>
      </c>
      <c r="S88">
        <f>YEAR(Cleaned_data[[#This Row],[Date_Hired]])</f>
        <v>2019</v>
      </c>
    </row>
    <row r="89" spans="1:19" x14ac:dyDescent="0.25">
      <c r="A89" t="s">
        <v>331</v>
      </c>
      <c r="B89" t="s">
        <v>332</v>
      </c>
      <c r="C89" t="s">
        <v>65</v>
      </c>
      <c r="D89" t="s">
        <v>80</v>
      </c>
      <c r="E89" t="s">
        <v>18</v>
      </c>
      <c r="F89">
        <v>30</v>
      </c>
      <c r="G89" s="10">
        <v>44925</v>
      </c>
      <c r="H89" s="10">
        <v>45730</v>
      </c>
      <c r="I89" t="s">
        <v>30</v>
      </c>
      <c r="J89">
        <v>5</v>
      </c>
      <c r="L89">
        <v>12.5</v>
      </c>
      <c r="M89" t="s">
        <v>21</v>
      </c>
      <c r="N89" s="15">
        <v>625290.79</v>
      </c>
      <c r="O89" t="s">
        <v>31</v>
      </c>
      <c r="P89">
        <v>2.2000000000000002</v>
      </c>
      <c r="Q89" t="s">
        <v>685</v>
      </c>
      <c r="R89" t="s">
        <v>686</v>
      </c>
      <c r="S89">
        <f>YEAR(Cleaned_data[[#This Row],[Date_Hired]])</f>
        <v>2022</v>
      </c>
    </row>
    <row r="90" spans="1:19" x14ac:dyDescent="0.25">
      <c r="A90" t="s">
        <v>335</v>
      </c>
      <c r="B90" t="s">
        <v>336</v>
      </c>
      <c r="C90" t="s">
        <v>50</v>
      </c>
      <c r="D90" t="s">
        <v>74</v>
      </c>
      <c r="E90" t="s">
        <v>18</v>
      </c>
      <c r="F90">
        <v>39</v>
      </c>
      <c r="G90" s="10">
        <v>44204</v>
      </c>
      <c r="H90" s="10">
        <v>45814</v>
      </c>
      <c r="I90" t="s">
        <v>30</v>
      </c>
      <c r="J90">
        <v>2</v>
      </c>
      <c r="L90">
        <v>3.4</v>
      </c>
      <c r="M90" t="s">
        <v>47</v>
      </c>
      <c r="N90" s="15">
        <v>127975.76</v>
      </c>
      <c r="O90" t="s">
        <v>31</v>
      </c>
      <c r="P90">
        <v>4.4000000000000004</v>
      </c>
      <c r="Q90" t="s">
        <v>685</v>
      </c>
      <c r="R90" t="s">
        <v>688</v>
      </c>
      <c r="S90">
        <f>YEAR(Cleaned_data[[#This Row],[Date_Hired]])</f>
        <v>2021</v>
      </c>
    </row>
    <row r="91" spans="1:19" x14ac:dyDescent="0.25">
      <c r="A91" t="s">
        <v>339</v>
      </c>
      <c r="B91" t="s">
        <v>340</v>
      </c>
      <c r="C91" t="s">
        <v>65</v>
      </c>
      <c r="D91" t="s">
        <v>40</v>
      </c>
      <c r="E91" t="s">
        <v>27</v>
      </c>
      <c r="F91">
        <v>27</v>
      </c>
      <c r="G91" s="10">
        <v>44528</v>
      </c>
      <c r="H91" s="10"/>
      <c r="I91" t="s">
        <v>20</v>
      </c>
      <c r="J91">
        <v>0</v>
      </c>
      <c r="L91">
        <v>-3.9</v>
      </c>
      <c r="M91" t="s">
        <v>42</v>
      </c>
      <c r="N91" s="15">
        <v>718000</v>
      </c>
      <c r="O91" t="s">
        <v>22</v>
      </c>
      <c r="P91">
        <v>4.5</v>
      </c>
      <c r="Q91" t="s">
        <v>683</v>
      </c>
      <c r="R91" t="s">
        <v>684</v>
      </c>
      <c r="S91">
        <f>YEAR(Cleaned_data[[#This Row],[Date_Hired]])</f>
        <v>2021</v>
      </c>
    </row>
    <row r="92" spans="1:19" x14ac:dyDescent="0.25">
      <c r="A92" t="s">
        <v>343</v>
      </c>
      <c r="B92" t="s">
        <v>344</v>
      </c>
      <c r="C92" t="s">
        <v>112</v>
      </c>
      <c r="D92" t="s">
        <v>96</v>
      </c>
      <c r="E92" t="s">
        <v>27</v>
      </c>
      <c r="F92">
        <v>48</v>
      </c>
      <c r="G92" s="10">
        <v>43580</v>
      </c>
      <c r="H92" s="10"/>
      <c r="I92" t="s">
        <v>20</v>
      </c>
      <c r="J92">
        <v>3</v>
      </c>
      <c r="L92">
        <v>2.7</v>
      </c>
      <c r="M92" t="s">
        <v>36</v>
      </c>
      <c r="N92" s="15">
        <v>1171379.08</v>
      </c>
      <c r="O92" t="s">
        <v>22</v>
      </c>
      <c r="P92">
        <v>7.1</v>
      </c>
      <c r="Q92" t="s">
        <v>689</v>
      </c>
      <c r="R92" t="s">
        <v>690</v>
      </c>
      <c r="S92">
        <f>YEAR(Cleaned_data[[#This Row],[Date_Hired]])</f>
        <v>2019</v>
      </c>
    </row>
    <row r="93" spans="1:19" x14ac:dyDescent="0.25">
      <c r="A93" t="s">
        <v>345</v>
      </c>
      <c r="B93" t="s">
        <v>346</v>
      </c>
      <c r="C93" t="s">
        <v>39</v>
      </c>
      <c r="D93" t="s">
        <v>74</v>
      </c>
      <c r="E93" t="s">
        <v>18</v>
      </c>
      <c r="F93">
        <v>48</v>
      </c>
      <c r="G93" s="10">
        <v>45033</v>
      </c>
      <c r="H93" s="10"/>
      <c r="I93" t="s">
        <v>20</v>
      </c>
      <c r="J93">
        <v>3</v>
      </c>
      <c r="L93">
        <v>7.7</v>
      </c>
      <c r="M93" t="s">
        <v>42</v>
      </c>
      <c r="N93" s="15">
        <v>335064.96999999997</v>
      </c>
      <c r="O93" t="s">
        <v>22</v>
      </c>
      <c r="P93">
        <v>3.1</v>
      </c>
      <c r="Q93" t="s">
        <v>689</v>
      </c>
      <c r="R93" t="s">
        <v>686</v>
      </c>
      <c r="S93">
        <f>YEAR(Cleaned_data[[#This Row],[Date_Hired]])</f>
        <v>2023</v>
      </c>
    </row>
    <row r="94" spans="1:19" x14ac:dyDescent="0.25">
      <c r="A94" t="s">
        <v>348</v>
      </c>
      <c r="B94" t="s">
        <v>107</v>
      </c>
      <c r="C94" t="s">
        <v>112</v>
      </c>
      <c r="D94" t="s">
        <v>96</v>
      </c>
      <c r="E94" t="s">
        <v>27</v>
      </c>
      <c r="F94">
        <v>38</v>
      </c>
      <c r="G94" s="10">
        <v>44039</v>
      </c>
      <c r="H94" s="10"/>
      <c r="I94" t="s">
        <v>20</v>
      </c>
      <c r="J94">
        <v>2</v>
      </c>
      <c r="L94">
        <v>13.4</v>
      </c>
      <c r="M94" t="s">
        <v>36</v>
      </c>
      <c r="N94" s="15">
        <v>699445.76000000001</v>
      </c>
      <c r="O94" t="s">
        <v>22</v>
      </c>
      <c r="P94">
        <v>5.8</v>
      </c>
      <c r="Q94" t="s">
        <v>685</v>
      </c>
      <c r="R94" t="s">
        <v>686</v>
      </c>
      <c r="S94">
        <f>YEAR(Cleaned_data[[#This Row],[Date_Hired]])</f>
        <v>2020</v>
      </c>
    </row>
    <row r="95" spans="1:19" x14ac:dyDescent="0.25">
      <c r="A95" t="s">
        <v>350</v>
      </c>
      <c r="B95" t="s">
        <v>351</v>
      </c>
      <c r="C95" t="s">
        <v>112</v>
      </c>
      <c r="D95" t="s">
        <v>96</v>
      </c>
      <c r="E95" t="s">
        <v>27</v>
      </c>
      <c r="F95">
        <v>54</v>
      </c>
      <c r="G95" s="10">
        <v>44438</v>
      </c>
      <c r="H95" s="10"/>
      <c r="I95" t="s">
        <v>20</v>
      </c>
      <c r="J95">
        <v>2</v>
      </c>
      <c r="L95">
        <v>6.4</v>
      </c>
      <c r="M95" t="s">
        <v>42</v>
      </c>
      <c r="N95" s="15">
        <v>88861.14</v>
      </c>
      <c r="O95" t="s">
        <v>22</v>
      </c>
      <c r="P95">
        <v>4.7</v>
      </c>
      <c r="Q95" t="s">
        <v>687</v>
      </c>
      <c r="R95" t="s">
        <v>688</v>
      </c>
      <c r="S95">
        <f>YEAR(Cleaned_data[[#This Row],[Date_Hired]])</f>
        <v>2021</v>
      </c>
    </row>
    <row r="96" spans="1:19" x14ac:dyDescent="0.25">
      <c r="A96" t="s">
        <v>353</v>
      </c>
      <c r="B96" t="s">
        <v>354</v>
      </c>
      <c r="C96" t="s">
        <v>39</v>
      </c>
      <c r="D96" t="s">
        <v>40</v>
      </c>
      <c r="E96" t="s">
        <v>18</v>
      </c>
      <c r="F96">
        <v>47</v>
      </c>
      <c r="G96" s="10">
        <v>43592</v>
      </c>
      <c r="H96" s="10"/>
      <c r="I96" t="s">
        <v>20</v>
      </c>
      <c r="J96">
        <v>5</v>
      </c>
      <c r="L96">
        <v>3.9</v>
      </c>
      <c r="M96" t="s">
        <v>47</v>
      </c>
      <c r="N96" s="15">
        <v>614800.73</v>
      </c>
      <c r="O96" t="s">
        <v>22</v>
      </c>
      <c r="P96">
        <v>7.1</v>
      </c>
      <c r="Q96" t="s">
        <v>689</v>
      </c>
      <c r="R96" t="s">
        <v>686</v>
      </c>
      <c r="S96">
        <f>YEAR(Cleaned_data[[#This Row],[Date_Hired]])</f>
        <v>2019</v>
      </c>
    </row>
    <row r="97" spans="1:19" x14ac:dyDescent="0.25">
      <c r="A97" t="s">
        <v>356</v>
      </c>
      <c r="B97" t="s">
        <v>357</v>
      </c>
      <c r="C97" t="s">
        <v>65</v>
      </c>
      <c r="D97" t="s">
        <v>87</v>
      </c>
      <c r="E97" t="s">
        <v>18</v>
      </c>
      <c r="F97">
        <v>48</v>
      </c>
      <c r="G97" s="10">
        <v>44848</v>
      </c>
      <c r="H97" s="10">
        <v>45695</v>
      </c>
      <c r="I97" t="s">
        <v>59</v>
      </c>
      <c r="J97">
        <v>5</v>
      </c>
      <c r="L97">
        <v>3.6</v>
      </c>
      <c r="M97" t="s">
        <v>42</v>
      </c>
      <c r="N97" s="15">
        <v>815266.47</v>
      </c>
      <c r="O97" t="s">
        <v>31</v>
      </c>
      <c r="P97">
        <v>2.2999999999999998</v>
      </c>
      <c r="Q97" t="s">
        <v>689</v>
      </c>
      <c r="R97" t="s">
        <v>684</v>
      </c>
      <c r="S97">
        <f>YEAR(Cleaned_data[[#This Row],[Date_Hired]])</f>
        <v>2022</v>
      </c>
    </row>
    <row r="98" spans="1:19" x14ac:dyDescent="0.25">
      <c r="A98" t="s">
        <v>360</v>
      </c>
      <c r="B98" t="s">
        <v>361</v>
      </c>
      <c r="C98" t="s">
        <v>65</v>
      </c>
      <c r="D98" t="s">
        <v>74</v>
      </c>
      <c r="E98" t="s">
        <v>18</v>
      </c>
      <c r="F98">
        <v>46</v>
      </c>
      <c r="G98" s="10">
        <v>44713</v>
      </c>
      <c r="H98" s="10"/>
      <c r="I98" t="s">
        <v>20</v>
      </c>
      <c r="J98">
        <v>3</v>
      </c>
      <c r="L98">
        <v>13</v>
      </c>
      <c r="M98" t="s">
        <v>42</v>
      </c>
      <c r="N98" s="15">
        <v>1120160.3700000001</v>
      </c>
      <c r="O98" t="s">
        <v>22</v>
      </c>
      <c r="P98">
        <v>4</v>
      </c>
      <c r="Q98" t="s">
        <v>689</v>
      </c>
      <c r="R98" t="s">
        <v>690</v>
      </c>
      <c r="S98">
        <f>YEAR(Cleaned_data[[#This Row],[Date_Hired]])</f>
        <v>2022</v>
      </c>
    </row>
    <row r="99" spans="1:19" x14ac:dyDescent="0.25">
      <c r="A99" t="s">
        <v>363</v>
      </c>
      <c r="B99" t="s">
        <v>364</v>
      </c>
      <c r="C99" t="s">
        <v>39</v>
      </c>
      <c r="D99" t="s">
        <v>51</v>
      </c>
      <c r="E99" t="s">
        <v>18</v>
      </c>
      <c r="F99">
        <v>27</v>
      </c>
      <c r="G99" s="10">
        <v>43706</v>
      </c>
      <c r="H99" s="10">
        <v>45357</v>
      </c>
      <c r="I99" t="s">
        <v>59</v>
      </c>
      <c r="J99">
        <v>4</v>
      </c>
      <c r="L99">
        <v>6.7</v>
      </c>
      <c r="M99" t="s">
        <v>21</v>
      </c>
      <c r="N99" s="15">
        <v>715390.14</v>
      </c>
      <c r="O99" t="s">
        <v>31</v>
      </c>
      <c r="P99">
        <v>4.5</v>
      </c>
      <c r="Q99" t="s">
        <v>683</v>
      </c>
      <c r="R99" t="s">
        <v>684</v>
      </c>
      <c r="S99">
        <f>YEAR(Cleaned_data[[#This Row],[Date_Hired]])</f>
        <v>2019</v>
      </c>
    </row>
    <row r="100" spans="1:19" x14ac:dyDescent="0.25">
      <c r="A100" t="s">
        <v>366</v>
      </c>
      <c r="B100" t="s">
        <v>351</v>
      </c>
      <c r="C100" t="s">
        <v>50</v>
      </c>
      <c r="D100" t="s">
        <v>87</v>
      </c>
      <c r="E100" t="s">
        <v>18</v>
      </c>
      <c r="F100">
        <v>38</v>
      </c>
      <c r="G100" s="10">
        <v>44198</v>
      </c>
      <c r="H100" s="10"/>
      <c r="I100" t="s">
        <v>20</v>
      </c>
      <c r="J100">
        <v>4</v>
      </c>
      <c r="L100">
        <v>1</v>
      </c>
      <c r="M100" t="s">
        <v>47</v>
      </c>
      <c r="N100" s="15">
        <v>1324827.71</v>
      </c>
      <c r="O100" t="s">
        <v>22</v>
      </c>
      <c r="P100">
        <v>5.4</v>
      </c>
      <c r="Q100" t="s">
        <v>685</v>
      </c>
      <c r="R100" t="s">
        <v>690</v>
      </c>
      <c r="S100">
        <f>YEAR(Cleaned_data[[#This Row],[Date_Hired]])</f>
        <v>2021</v>
      </c>
    </row>
    <row r="101" spans="1:19" x14ac:dyDescent="0.25">
      <c r="A101" t="s">
        <v>368</v>
      </c>
      <c r="B101" t="s">
        <v>369</v>
      </c>
      <c r="C101" t="s">
        <v>65</v>
      </c>
      <c r="D101" t="s">
        <v>80</v>
      </c>
      <c r="E101" t="s">
        <v>18</v>
      </c>
      <c r="F101">
        <v>41</v>
      </c>
      <c r="G101" s="10">
        <v>44086</v>
      </c>
      <c r="H101" s="10"/>
      <c r="I101" t="s">
        <v>20</v>
      </c>
      <c r="J101">
        <v>4</v>
      </c>
      <c r="L101">
        <v>4.5999999999999996</v>
      </c>
      <c r="M101" t="s">
        <v>47</v>
      </c>
      <c r="N101" s="15">
        <v>313147.27</v>
      </c>
      <c r="O101" t="s">
        <v>22</v>
      </c>
      <c r="P101">
        <v>5.7</v>
      </c>
      <c r="Q101" t="s">
        <v>689</v>
      </c>
      <c r="R101" t="s">
        <v>686</v>
      </c>
      <c r="S101">
        <f>YEAR(Cleaned_data[[#This Row],[Date_Hired]])</f>
        <v>2020</v>
      </c>
    </row>
    <row r="102" spans="1:19" x14ac:dyDescent="0.25">
      <c r="A102" t="s">
        <v>370</v>
      </c>
      <c r="B102" t="s">
        <v>371</v>
      </c>
      <c r="C102" t="s">
        <v>39</v>
      </c>
      <c r="D102" t="s">
        <v>87</v>
      </c>
      <c r="E102" t="s">
        <v>18</v>
      </c>
      <c r="F102">
        <v>34</v>
      </c>
      <c r="G102" s="10">
        <v>43535</v>
      </c>
      <c r="H102" s="10"/>
      <c r="I102" t="s">
        <v>20</v>
      </c>
      <c r="J102">
        <v>4</v>
      </c>
      <c r="L102">
        <v>18.899999999999999</v>
      </c>
      <c r="M102" t="s">
        <v>42</v>
      </c>
      <c r="N102" s="15">
        <v>1478109.88</v>
      </c>
      <c r="O102" t="s">
        <v>22</v>
      </c>
      <c r="P102">
        <v>7.2</v>
      </c>
      <c r="Q102" t="s">
        <v>685</v>
      </c>
      <c r="R102" t="s">
        <v>690</v>
      </c>
      <c r="S102">
        <f>YEAR(Cleaned_data[[#This Row],[Date_Hired]])</f>
        <v>2019</v>
      </c>
    </row>
    <row r="103" spans="1:19" x14ac:dyDescent="0.25">
      <c r="A103" t="s">
        <v>373</v>
      </c>
      <c r="B103" t="s">
        <v>374</v>
      </c>
      <c r="C103" t="s">
        <v>39</v>
      </c>
      <c r="D103" t="s">
        <v>51</v>
      </c>
      <c r="E103" t="s">
        <v>27</v>
      </c>
      <c r="F103">
        <v>30</v>
      </c>
      <c r="G103" s="10">
        <v>44872</v>
      </c>
      <c r="H103" s="10"/>
      <c r="I103" t="s">
        <v>20</v>
      </c>
      <c r="J103">
        <v>3</v>
      </c>
      <c r="L103">
        <v>0.6</v>
      </c>
      <c r="M103" t="s">
        <v>36</v>
      </c>
      <c r="N103" s="15">
        <v>658865.21</v>
      </c>
      <c r="O103" t="s">
        <v>22</v>
      </c>
      <c r="P103">
        <v>3.6</v>
      </c>
      <c r="Q103" t="s">
        <v>685</v>
      </c>
      <c r="R103" t="s">
        <v>686</v>
      </c>
      <c r="S103">
        <f>YEAR(Cleaned_data[[#This Row],[Date_Hired]])</f>
        <v>2022</v>
      </c>
    </row>
    <row r="104" spans="1:19" x14ac:dyDescent="0.25">
      <c r="A104" t="s">
        <v>376</v>
      </c>
      <c r="B104" t="s">
        <v>377</v>
      </c>
      <c r="C104" t="s">
        <v>25</v>
      </c>
      <c r="D104" t="s">
        <v>80</v>
      </c>
      <c r="E104" t="s">
        <v>27</v>
      </c>
      <c r="F104">
        <v>32</v>
      </c>
      <c r="G104" s="10">
        <v>44519</v>
      </c>
      <c r="H104" s="10"/>
      <c r="I104" t="s">
        <v>20</v>
      </c>
      <c r="J104">
        <v>5</v>
      </c>
      <c r="L104">
        <v>3.4</v>
      </c>
      <c r="M104" t="s">
        <v>42</v>
      </c>
      <c r="N104" s="15">
        <v>1141429.95</v>
      </c>
      <c r="O104" t="s">
        <v>22</v>
      </c>
      <c r="P104">
        <v>4.5</v>
      </c>
      <c r="Q104" t="s">
        <v>685</v>
      </c>
      <c r="R104" t="s">
        <v>690</v>
      </c>
      <c r="S104">
        <f>YEAR(Cleaned_data[[#This Row],[Date_Hired]])</f>
        <v>2021</v>
      </c>
    </row>
    <row r="105" spans="1:19" x14ac:dyDescent="0.25">
      <c r="A105" t="s">
        <v>379</v>
      </c>
      <c r="B105" t="s">
        <v>127</v>
      </c>
      <c r="C105" t="s">
        <v>65</v>
      </c>
      <c r="D105" t="s">
        <v>40</v>
      </c>
      <c r="E105" t="s">
        <v>27</v>
      </c>
      <c r="F105">
        <v>43</v>
      </c>
      <c r="G105" s="10">
        <v>44073</v>
      </c>
      <c r="H105" s="10"/>
      <c r="I105" t="s">
        <v>20</v>
      </c>
      <c r="J105">
        <v>5</v>
      </c>
      <c r="L105">
        <v>7.8</v>
      </c>
      <c r="M105" t="s">
        <v>47</v>
      </c>
      <c r="N105" s="15">
        <v>1384406.56</v>
      </c>
      <c r="O105" t="s">
        <v>22</v>
      </c>
      <c r="P105">
        <v>5.7</v>
      </c>
      <c r="Q105" t="s">
        <v>689</v>
      </c>
      <c r="R105" t="s">
        <v>690</v>
      </c>
      <c r="S105">
        <f>YEAR(Cleaned_data[[#This Row],[Date_Hired]])</f>
        <v>2020</v>
      </c>
    </row>
    <row r="106" spans="1:19" x14ac:dyDescent="0.25">
      <c r="A106" t="s">
        <v>381</v>
      </c>
      <c r="B106" t="s">
        <v>382</v>
      </c>
      <c r="C106" t="s">
        <v>65</v>
      </c>
      <c r="D106" t="s">
        <v>87</v>
      </c>
      <c r="E106" t="s">
        <v>27</v>
      </c>
      <c r="F106">
        <v>42</v>
      </c>
      <c r="G106" s="10">
        <v>45144</v>
      </c>
      <c r="H106" s="10"/>
      <c r="I106" t="s">
        <v>20</v>
      </c>
      <c r="J106">
        <v>3</v>
      </c>
      <c r="L106">
        <v>19.5</v>
      </c>
      <c r="M106" t="s">
        <v>42</v>
      </c>
      <c r="N106" s="15">
        <v>718000</v>
      </c>
      <c r="O106" t="s">
        <v>22</v>
      </c>
      <c r="P106">
        <v>2.8</v>
      </c>
      <c r="Q106" t="s">
        <v>689</v>
      </c>
      <c r="R106" t="s">
        <v>684</v>
      </c>
      <c r="S106">
        <f>YEAR(Cleaned_data[[#This Row],[Date_Hired]])</f>
        <v>2023</v>
      </c>
    </row>
    <row r="107" spans="1:19" x14ac:dyDescent="0.25">
      <c r="A107" t="s">
        <v>385</v>
      </c>
      <c r="B107" t="s">
        <v>386</v>
      </c>
      <c r="C107" t="s">
        <v>112</v>
      </c>
      <c r="D107" t="s">
        <v>26</v>
      </c>
      <c r="E107" t="s">
        <v>18</v>
      </c>
      <c r="F107">
        <v>57</v>
      </c>
      <c r="G107" s="10">
        <v>44520</v>
      </c>
      <c r="H107" s="10"/>
      <c r="I107" t="s">
        <v>20</v>
      </c>
      <c r="J107">
        <v>3</v>
      </c>
      <c r="L107">
        <v>12.5</v>
      </c>
      <c r="M107" t="s">
        <v>47</v>
      </c>
      <c r="N107" s="15">
        <v>1102343.92</v>
      </c>
      <c r="O107" t="s">
        <v>22</v>
      </c>
      <c r="P107">
        <v>4.5</v>
      </c>
      <c r="Q107" t="s">
        <v>687</v>
      </c>
      <c r="R107" t="s">
        <v>690</v>
      </c>
      <c r="S107">
        <f>YEAR(Cleaned_data[[#This Row],[Date_Hired]])</f>
        <v>2021</v>
      </c>
    </row>
    <row r="108" spans="1:19" x14ac:dyDescent="0.25">
      <c r="A108" t="s">
        <v>388</v>
      </c>
      <c r="B108" t="s">
        <v>144</v>
      </c>
      <c r="C108" t="s">
        <v>79</v>
      </c>
      <c r="D108" t="s">
        <v>87</v>
      </c>
      <c r="E108" t="s">
        <v>27</v>
      </c>
      <c r="F108">
        <v>24</v>
      </c>
      <c r="G108" s="10">
        <v>43667</v>
      </c>
      <c r="H108" s="10">
        <v>45354</v>
      </c>
      <c r="I108" t="s">
        <v>30</v>
      </c>
      <c r="J108">
        <v>1</v>
      </c>
      <c r="L108">
        <v>17.100000000000001</v>
      </c>
      <c r="M108" t="s">
        <v>36</v>
      </c>
      <c r="N108" s="15">
        <v>102458.35</v>
      </c>
      <c r="O108" t="s">
        <v>31</v>
      </c>
      <c r="P108">
        <v>4.5999999999999996</v>
      </c>
      <c r="Q108" t="s">
        <v>683</v>
      </c>
      <c r="R108" t="s">
        <v>688</v>
      </c>
      <c r="S108">
        <f>YEAR(Cleaned_data[[#This Row],[Date_Hired]])</f>
        <v>2019</v>
      </c>
    </row>
    <row r="109" spans="1:19" x14ac:dyDescent="0.25">
      <c r="A109" t="s">
        <v>391</v>
      </c>
      <c r="B109" t="s">
        <v>392</v>
      </c>
      <c r="C109" t="s">
        <v>65</v>
      </c>
      <c r="D109" t="s">
        <v>80</v>
      </c>
      <c r="E109" t="s">
        <v>18</v>
      </c>
      <c r="F109">
        <v>49</v>
      </c>
      <c r="G109" s="10">
        <v>43670</v>
      </c>
      <c r="H109" s="10"/>
      <c r="I109" t="s">
        <v>20</v>
      </c>
      <c r="J109">
        <v>0</v>
      </c>
      <c r="L109">
        <v>18.899999999999999</v>
      </c>
      <c r="M109" t="s">
        <v>36</v>
      </c>
      <c r="N109" s="15">
        <v>669019.16</v>
      </c>
      <c r="O109" t="s">
        <v>22</v>
      </c>
      <c r="P109">
        <v>6.8</v>
      </c>
      <c r="Q109" t="s">
        <v>689</v>
      </c>
      <c r="R109" t="s">
        <v>686</v>
      </c>
      <c r="S109">
        <f>YEAR(Cleaned_data[[#This Row],[Date_Hired]])</f>
        <v>2019</v>
      </c>
    </row>
    <row r="110" spans="1:19" x14ac:dyDescent="0.25">
      <c r="A110" t="s">
        <v>394</v>
      </c>
      <c r="B110" t="s">
        <v>395</v>
      </c>
      <c r="C110" t="s">
        <v>79</v>
      </c>
      <c r="D110" t="s">
        <v>26</v>
      </c>
      <c r="E110" t="s">
        <v>27</v>
      </c>
      <c r="F110">
        <v>44</v>
      </c>
      <c r="G110" s="10">
        <v>43766</v>
      </c>
      <c r="H110" s="10"/>
      <c r="I110" t="s">
        <v>20</v>
      </c>
      <c r="J110">
        <v>1</v>
      </c>
      <c r="L110">
        <v>13.5</v>
      </c>
      <c r="M110" t="s">
        <v>47</v>
      </c>
      <c r="N110" s="15">
        <v>683380.83</v>
      </c>
      <c r="O110" t="s">
        <v>22</v>
      </c>
      <c r="P110">
        <v>6.6</v>
      </c>
      <c r="Q110" t="s">
        <v>689</v>
      </c>
      <c r="R110" t="s">
        <v>686</v>
      </c>
      <c r="S110">
        <f>YEAR(Cleaned_data[[#This Row],[Date_Hired]])</f>
        <v>2019</v>
      </c>
    </row>
    <row r="111" spans="1:19" x14ac:dyDescent="0.25">
      <c r="A111" t="s">
        <v>397</v>
      </c>
      <c r="B111" t="s">
        <v>398</v>
      </c>
      <c r="C111" t="s">
        <v>65</v>
      </c>
      <c r="D111" t="s">
        <v>87</v>
      </c>
      <c r="E111" t="s">
        <v>27</v>
      </c>
      <c r="F111">
        <v>41</v>
      </c>
      <c r="G111" s="10">
        <v>43894</v>
      </c>
      <c r="H111" s="10"/>
      <c r="I111" t="s">
        <v>20</v>
      </c>
      <c r="J111">
        <v>1</v>
      </c>
      <c r="L111">
        <v>10.7</v>
      </c>
      <c r="M111" t="s">
        <v>42</v>
      </c>
      <c r="N111" s="15">
        <v>511219.06</v>
      </c>
      <c r="O111" t="s">
        <v>22</v>
      </c>
      <c r="P111">
        <v>6.2</v>
      </c>
      <c r="Q111" t="s">
        <v>689</v>
      </c>
      <c r="R111" t="s">
        <v>686</v>
      </c>
      <c r="S111">
        <f>YEAR(Cleaned_data[[#This Row],[Date_Hired]])</f>
        <v>2020</v>
      </c>
    </row>
    <row r="112" spans="1:19" x14ac:dyDescent="0.25">
      <c r="A112" t="s">
        <v>400</v>
      </c>
      <c r="B112" t="s">
        <v>401</v>
      </c>
      <c r="C112" t="s">
        <v>25</v>
      </c>
      <c r="D112" t="s">
        <v>40</v>
      </c>
      <c r="E112" t="s">
        <v>27</v>
      </c>
      <c r="F112">
        <v>39</v>
      </c>
      <c r="G112" s="10">
        <v>44910</v>
      </c>
      <c r="H112" s="10"/>
      <c r="I112" t="s">
        <v>20</v>
      </c>
      <c r="J112">
        <v>2</v>
      </c>
      <c r="L112">
        <v>12.9</v>
      </c>
      <c r="M112" t="s">
        <v>21</v>
      </c>
      <c r="N112" s="15">
        <v>180455.22</v>
      </c>
      <c r="O112" t="s">
        <v>22</v>
      </c>
      <c r="P112">
        <v>3.5</v>
      </c>
      <c r="Q112" t="s">
        <v>685</v>
      </c>
      <c r="R112" t="s">
        <v>688</v>
      </c>
      <c r="S112">
        <f>YEAR(Cleaned_data[[#This Row],[Date_Hired]])</f>
        <v>2022</v>
      </c>
    </row>
    <row r="113" spans="1:19" x14ac:dyDescent="0.25">
      <c r="A113" t="s">
        <v>403</v>
      </c>
      <c r="B113" t="s">
        <v>404</v>
      </c>
      <c r="C113" t="s">
        <v>50</v>
      </c>
      <c r="D113" t="s">
        <v>96</v>
      </c>
      <c r="E113" t="s">
        <v>27</v>
      </c>
      <c r="F113">
        <v>47</v>
      </c>
      <c r="G113" s="10">
        <v>44584</v>
      </c>
      <c r="H113" s="10">
        <v>45745</v>
      </c>
      <c r="I113" t="s">
        <v>59</v>
      </c>
      <c r="J113">
        <v>2</v>
      </c>
      <c r="L113">
        <v>12.4</v>
      </c>
      <c r="M113" t="s">
        <v>42</v>
      </c>
      <c r="N113" s="15">
        <v>508722.54</v>
      </c>
      <c r="O113" t="s">
        <v>31</v>
      </c>
      <c r="P113">
        <v>3.2</v>
      </c>
      <c r="Q113" t="s">
        <v>689</v>
      </c>
      <c r="R113" t="s">
        <v>686</v>
      </c>
      <c r="S113">
        <f>YEAR(Cleaned_data[[#This Row],[Date_Hired]])</f>
        <v>2022</v>
      </c>
    </row>
    <row r="114" spans="1:19" x14ac:dyDescent="0.25">
      <c r="A114" t="s">
        <v>407</v>
      </c>
      <c r="B114" t="s">
        <v>224</v>
      </c>
      <c r="C114" t="s">
        <v>45</v>
      </c>
      <c r="D114" t="s">
        <v>87</v>
      </c>
      <c r="E114" t="s">
        <v>18</v>
      </c>
      <c r="F114">
        <v>53</v>
      </c>
      <c r="G114" s="10">
        <v>44383</v>
      </c>
      <c r="H114" s="10"/>
      <c r="I114" t="s">
        <v>20</v>
      </c>
      <c r="J114">
        <v>2</v>
      </c>
      <c r="L114">
        <v>0.7</v>
      </c>
      <c r="M114" t="s">
        <v>36</v>
      </c>
      <c r="N114" s="15">
        <v>748518.89</v>
      </c>
      <c r="O114" t="s">
        <v>22</v>
      </c>
      <c r="P114">
        <v>4.9000000000000004</v>
      </c>
      <c r="Q114" t="s">
        <v>687</v>
      </c>
      <c r="R114" t="s">
        <v>684</v>
      </c>
      <c r="S114">
        <f>YEAR(Cleaned_data[[#This Row],[Date_Hired]])</f>
        <v>2021</v>
      </c>
    </row>
    <row r="115" spans="1:19" x14ac:dyDescent="0.25">
      <c r="A115" t="s">
        <v>409</v>
      </c>
      <c r="B115" t="s">
        <v>234</v>
      </c>
      <c r="C115" t="s">
        <v>112</v>
      </c>
      <c r="D115" t="s">
        <v>40</v>
      </c>
      <c r="E115" t="s">
        <v>27</v>
      </c>
      <c r="F115">
        <v>35</v>
      </c>
      <c r="G115" s="10">
        <v>43924</v>
      </c>
      <c r="H115" s="10">
        <v>44972</v>
      </c>
      <c r="I115" t="s">
        <v>59</v>
      </c>
      <c r="J115">
        <v>3</v>
      </c>
      <c r="L115">
        <v>4.5999999999999996</v>
      </c>
      <c r="M115" t="s">
        <v>36</v>
      </c>
      <c r="N115" s="15">
        <v>147643.21</v>
      </c>
      <c r="O115" t="s">
        <v>31</v>
      </c>
      <c r="P115">
        <v>2.9</v>
      </c>
      <c r="Q115" t="s">
        <v>685</v>
      </c>
      <c r="R115" t="s">
        <v>688</v>
      </c>
      <c r="S115">
        <f>YEAR(Cleaned_data[[#This Row],[Date_Hired]])</f>
        <v>2020</v>
      </c>
    </row>
    <row r="116" spans="1:19" x14ac:dyDescent="0.25">
      <c r="A116" t="s">
        <v>412</v>
      </c>
      <c r="B116" t="s">
        <v>131</v>
      </c>
      <c r="C116" t="s">
        <v>16</v>
      </c>
      <c r="D116" t="s">
        <v>51</v>
      </c>
      <c r="E116" t="s">
        <v>18</v>
      </c>
      <c r="F116">
        <v>22</v>
      </c>
      <c r="G116" s="10">
        <v>44245</v>
      </c>
      <c r="H116" s="10"/>
      <c r="I116" t="s">
        <v>20</v>
      </c>
      <c r="J116">
        <v>3</v>
      </c>
      <c r="L116">
        <v>13.9</v>
      </c>
      <c r="M116" t="s">
        <v>47</v>
      </c>
      <c r="N116" s="15">
        <v>1089464.78</v>
      </c>
      <c r="O116" t="s">
        <v>22</v>
      </c>
      <c r="P116">
        <v>5.3</v>
      </c>
      <c r="Q116" t="s">
        <v>683</v>
      </c>
      <c r="R116" t="s">
        <v>690</v>
      </c>
      <c r="S116">
        <f>YEAR(Cleaned_data[[#This Row],[Date_Hired]])</f>
        <v>2021</v>
      </c>
    </row>
    <row r="117" spans="1:19" x14ac:dyDescent="0.25">
      <c r="A117" t="s">
        <v>413</v>
      </c>
      <c r="B117" t="s">
        <v>414</v>
      </c>
      <c r="C117" t="s">
        <v>16</v>
      </c>
      <c r="D117" t="s">
        <v>26</v>
      </c>
      <c r="E117" t="s">
        <v>18</v>
      </c>
      <c r="F117">
        <v>37</v>
      </c>
      <c r="G117" s="10">
        <v>44548</v>
      </c>
      <c r="H117" s="10">
        <v>45980</v>
      </c>
      <c r="I117" t="s">
        <v>59</v>
      </c>
      <c r="J117">
        <v>3</v>
      </c>
      <c r="L117">
        <v>2.9</v>
      </c>
      <c r="M117" t="s">
        <v>21</v>
      </c>
      <c r="N117" s="15">
        <v>305797.42</v>
      </c>
      <c r="O117" t="s">
        <v>31</v>
      </c>
      <c r="P117">
        <v>3.9</v>
      </c>
      <c r="Q117" t="s">
        <v>685</v>
      </c>
      <c r="R117" t="s">
        <v>686</v>
      </c>
      <c r="S117">
        <f>YEAR(Cleaned_data[[#This Row],[Date_Hired]])</f>
        <v>2021</v>
      </c>
    </row>
    <row r="118" spans="1:19" x14ac:dyDescent="0.25">
      <c r="A118" t="s">
        <v>417</v>
      </c>
      <c r="B118" t="s">
        <v>207</v>
      </c>
      <c r="C118" t="s">
        <v>25</v>
      </c>
      <c r="D118" t="s">
        <v>26</v>
      </c>
      <c r="E118" t="s">
        <v>27</v>
      </c>
      <c r="F118">
        <v>40</v>
      </c>
      <c r="G118" s="10">
        <v>45283</v>
      </c>
      <c r="H118" s="10">
        <v>47045</v>
      </c>
      <c r="I118" t="s">
        <v>30</v>
      </c>
      <c r="J118">
        <v>2</v>
      </c>
      <c r="L118">
        <v>7.1</v>
      </c>
      <c r="M118" t="s">
        <v>47</v>
      </c>
      <c r="N118" s="15">
        <v>971437.13</v>
      </c>
      <c r="O118" t="s">
        <v>31</v>
      </c>
      <c r="P118">
        <v>4.8</v>
      </c>
      <c r="Q118" t="s">
        <v>685</v>
      </c>
      <c r="R118" t="s">
        <v>684</v>
      </c>
      <c r="S118">
        <f>YEAR(Cleaned_data[[#This Row],[Date_Hired]])</f>
        <v>2023</v>
      </c>
    </row>
    <row r="119" spans="1:19" x14ac:dyDescent="0.25">
      <c r="A119" t="s">
        <v>420</v>
      </c>
      <c r="B119" t="s">
        <v>392</v>
      </c>
      <c r="C119" t="s">
        <v>50</v>
      </c>
      <c r="D119" t="s">
        <v>96</v>
      </c>
      <c r="E119" t="s">
        <v>27</v>
      </c>
      <c r="F119">
        <v>44</v>
      </c>
      <c r="G119" s="10">
        <v>43803</v>
      </c>
      <c r="H119" s="10">
        <v>45033</v>
      </c>
      <c r="I119" t="s">
        <v>30</v>
      </c>
      <c r="J119">
        <v>1</v>
      </c>
      <c r="L119">
        <v>0.3</v>
      </c>
      <c r="M119" t="s">
        <v>36</v>
      </c>
      <c r="N119" s="15">
        <v>450594.2</v>
      </c>
      <c r="O119" t="s">
        <v>31</v>
      </c>
      <c r="P119">
        <v>3.4</v>
      </c>
      <c r="Q119" t="s">
        <v>689</v>
      </c>
      <c r="R119" t="s">
        <v>686</v>
      </c>
      <c r="S119">
        <f>YEAR(Cleaned_data[[#This Row],[Date_Hired]])</f>
        <v>2019</v>
      </c>
    </row>
    <row r="120" spans="1:19" x14ac:dyDescent="0.25">
      <c r="A120" t="s">
        <v>422</v>
      </c>
      <c r="B120" t="s">
        <v>423</v>
      </c>
      <c r="C120" t="s">
        <v>16</v>
      </c>
      <c r="D120" t="s">
        <v>17</v>
      </c>
      <c r="E120" t="s">
        <v>18</v>
      </c>
      <c r="F120">
        <v>50</v>
      </c>
      <c r="G120" s="10">
        <v>45238</v>
      </c>
      <c r="H120" s="10"/>
      <c r="I120" t="s">
        <v>20</v>
      </c>
      <c r="J120">
        <v>4</v>
      </c>
      <c r="L120">
        <v>3.2</v>
      </c>
      <c r="M120" t="s">
        <v>42</v>
      </c>
      <c r="N120" s="15">
        <v>1147909.82</v>
      </c>
      <c r="O120" t="s">
        <v>22</v>
      </c>
      <c r="P120">
        <v>2.6</v>
      </c>
      <c r="Q120" t="s">
        <v>689</v>
      </c>
      <c r="R120" t="s">
        <v>690</v>
      </c>
      <c r="S120">
        <f>YEAR(Cleaned_data[[#This Row],[Date_Hired]])</f>
        <v>2023</v>
      </c>
    </row>
    <row r="121" spans="1:19" x14ac:dyDescent="0.25">
      <c r="A121" t="s">
        <v>425</v>
      </c>
      <c r="B121" t="s">
        <v>426</v>
      </c>
      <c r="C121" t="s">
        <v>79</v>
      </c>
      <c r="D121" t="s">
        <v>40</v>
      </c>
      <c r="E121" t="s">
        <v>27</v>
      </c>
      <c r="F121">
        <v>30</v>
      </c>
      <c r="G121" s="10">
        <v>43715</v>
      </c>
      <c r="H121" s="10"/>
      <c r="I121" t="s">
        <v>20</v>
      </c>
      <c r="J121">
        <v>5</v>
      </c>
      <c r="L121">
        <v>-3.4</v>
      </c>
      <c r="M121" t="s">
        <v>21</v>
      </c>
      <c r="N121" s="15">
        <v>718000</v>
      </c>
      <c r="O121" t="s">
        <v>22</v>
      </c>
      <c r="P121">
        <v>6.7</v>
      </c>
      <c r="Q121" t="s">
        <v>685</v>
      </c>
      <c r="R121" t="s">
        <v>684</v>
      </c>
      <c r="S121">
        <f>YEAR(Cleaned_data[[#This Row],[Date_Hired]])</f>
        <v>2019</v>
      </c>
    </row>
    <row r="122" spans="1:19" x14ac:dyDescent="0.25">
      <c r="A122" t="s">
        <v>428</v>
      </c>
      <c r="B122" t="s">
        <v>429</v>
      </c>
      <c r="C122" t="s">
        <v>25</v>
      </c>
      <c r="D122" t="s">
        <v>80</v>
      </c>
      <c r="E122" t="s">
        <v>27</v>
      </c>
      <c r="F122">
        <v>56</v>
      </c>
      <c r="G122" s="10">
        <v>45114</v>
      </c>
      <c r="H122" s="10">
        <v>46253</v>
      </c>
      <c r="I122" t="s">
        <v>59</v>
      </c>
      <c r="J122">
        <v>4</v>
      </c>
      <c r="L122">
        <v>8.4</v>
      </c>
      <c r="M122" t="s">
        <v>71</v>
      </c>
      <c r="N122" s="15">
        <v>500050.03</v>
      </c>
      <c r="O122" t="s">
        <v>31</v>
      </c>
      <c r="P122">
        <v>3.1</v>
      </c>
      <c r="Q122" t="s">
        <v>687</v>
      </c>
      <c r="R122" t="s">
        <v>686</v>
      </c>
      <c r="S122">
        <f>YEAR(Cleaned_data[[#This Row],[Date_Hired]])</f>
        <v>2023</v>
      </c>
    </row>
    <row r="123" spans="1:19" x14ac:dyDescent="0.25">
      <c r="A123" t="s">
        <v>432</v>
      </c>
      <c r="B123" t="s">
        <v>433</v>
      </c>
      <c r="C123" t="s">
        <v>79</v>
      </c>
      <c r="D123" t="s">
        <v>80</v>
      </c>
      <c r="E123" t="s">
        <v>18</v>
      </c>
      <c r="F123">
        <v>35</v>
      </c>
      <c r="G123" s="10">
        <v>45119</v>
      </c>
      <c r="H123" s="10"/>
      <c r="I123" t="s">
        <v>20</v>
      </c>
      <c r="J123">
        <v>3</v>
      </c>
      <c r="L123">
        <v>4.4000000000000004</v>
      </c>
      <c r="M123" t="s">
        <v>36</v>
      </c>
      <c r="N123" s="15">
        <v>849670.85</v>
      </c>
      <c r="O123" t="s">
        <v>22</v>
      </c>
      <c r="P123">
        <v>2.9</v>
      </c>
      <c r="Q123" t="s">
        <v>685</v>
      </c>
      <c r="R123" t="s">
        <v>684</v>
      </c>
      <c r="S123">
        <f>YEAR(Cleaned_data[[#This Row],[Date_Hired]])</f>
        <v>2023</v>
      </c>
    </row>
    <row r="124" spans="1:19" x14ac:dyDescent="0.25">
      <c r="A124" t="s">
        <v>435</v>
      </c>
      <c r="B124" t="s">
        <v>436</v>
      </c>
      <c r="C124" t="s">
        <v>16</v>
      </c>
      <c r="D124" t="s">
        <v>51</v>
      </c>
      <c r="E124" t="s">
        <v>27</v>
      </c>
      <c r="F124">
        <v>22</v>
      </c>
      <c r="G124" s="10">
        <v>43889</v>
      </c>
      <c r="H124" s="10"/>
      <c r="I124" t="s">
        <v>20</v>
      </c>
      <c r="J124">
        <v>5</v>
      </c>
      <c r="L124">
        <v>19.5</v>
      </c>
      <c r="M124" t="s">
        <v>47</v>
      </c>
      <c r="N124" s="15">
        <v>576152.94999999995</v>
      </c>
      <c r="O124" t="s">
        <v>22</v>
      </c>
      <c r="P124">
        <v>6.2</v>
      </c>
      <c r="Q124" t="s">
        <v>683</v>
      </c>
      <c r="R124" t="s">
        <v>686</v>
      </c>
      <c r="S124">
        <f>YEAR(Cleaned_data[[#This Row],[Date_Hired]])</f>
        <v>2020</v>
      </c>
    </row>
    <row r="125" spans="1:19" x14ac:dyDescent="0.25">
      <c r="A125" t="s">
        <v>438</v>
      </c>
      <c r="B125" t="s">
        <v>439</v>
      </c>
      <c r="C125" t="s">
        <v>65</v>
      </c>
      <c r="D125" t="s">
        <v>96</v>
      </c>
      <c r="E125" t="s">
        <v>18</v>
      </c>
      <c r="F125">
        <v>51</v>
      </c>
      <c r="G125" s="10">
        <v>44208</v>
      </c>
      <c r="H125" s="10"/>
      <c r="I125" t="s">
        <v>20</v>
      </c>
      <c r="J125">
        <v>4</v>
      </c>
      <c r="L125">
        <v>4.5</v>
      </c>
      <c r="M125" t="s">
        <v>47</v>
      </c>
      <c r="N125" s="15">
        <v>623926.34</v>
      </c>
      <c r="O125" t="s">
        <v>22</v>
      </c>
      <c r="P125">
        <v>5.4</v>
      </c>
      <c r="Q125" t="s">
        <v>687</v>
      </c>
      <c r="R125" t="s">
        <v>686</v>
      </c>
      <c r="S125">
        <f>YEAR(Cleaned_data[[#This Row],[Date_Hired]])</f>
        <v>2021</v>
      </c>
    </row>
    <row r="126" spans="1:19" x14ac:dyDescent="0.25">
      <c r="A126" t="s">
        <v>441</v>
      </c>
      <c r="B126" t="s">
        <v>442</v>
      </c>
      <c r="C126" t="s">
        <v>65</v>
      </c>
      <c r="D126" t="s">
        <v>51</v>
      </c>
      <c r="E126" t="s">
        <v>18</v>
      </c>
      <c r="F126">
        <v>27</v>
      </c>
      <c r="G126" s="10">
        <v>44580</v>
      </c>
      <c r="H126" s="10">
        <v>45886</v>
      </c>
      <c r="I126" t="s">
        <v>59</v>
      </c>
      <c r="J126">
        <v>4</v>
      </c>
      <c r="L126">
        <v>12.6</v>
      </c>
      <c r="M126" t="s">
        <v>21</v>
      </c>
      <c r="N126" s="15">
        <v>112541.25</v>
      </c>
      <c r="O126" t="s">
        <v>31</v>
      </c>
      <c r="P126">
        <v>3.6</v>
      </c>
      <c r="Q126" t="s">
        <v>683</v>
      </c>
      <c r="R126" t="s">
        <v>688</v>
      </c>
      <c r="S126">
        <f>YEAR(Cleaned_data[[#This Row],[Date_Hired]])</f>
        <v>2022</v>
      </c>
    </row>
    <row r="127" spans="1:19" x14ac:dyDescent="0.25">
      <c r="A127" t="s">
        <v>445</v>
      </c>
      <c r="B127" t="s">
        <v>318</v>
      </c>
      <c r="C127" t="s">
        <v>16</v>
      </c>
      <c r="D127" t="s">
        <v>96</v>
      </c>
      <c r="E127" t="s">
        <v>18</v>
      </c>
      <c r="F127">
        <v>39</v>
      </c>
      <c r="G127" s="10">
        <v>44424</v>
      </c>
      <c r="H127" s="10"/>
      <c r="I127" t="s">
        <v>20</v>
      </c>
      <c r="J127">
        <v>0</v>
      </c>
      <c r="L127">
        <v>14.7</v>
      </c>
      <c r="M127" t="s">
        <v>36</v>
      </c>
      <c r="N127" s="15">
        <v>1068878.45</v>
      </c>
      <c r="O127" t="s">
        <v>22</v>
      </c>
      <c r="P127">
        <v>4.8</v>
      </c>
      <c r="Q127" t="s">
        <v>685</v>
      </c>
      <c r="R127" t="s">
        <v>690</v>
      </c>
      <c r="S127">
        <f>YEAR(Cleaned_data[[#This Row],[Date_Hired]])</f>
        <v>2021</v>
      </c>
    </row>
    <row r="128" spans="1:19" x14ac:dyDescent="0.25">
      <c r="A128" t="s">
        <v>448</v>
      </c>
      <c r="B128" t="s">
        <v>449</v>
      </c>
      <c r="C128" t="s">
        <v>112</v>
      </c>
      <c r="D128" t="s">
        <v>51</v>
      </c>
      <c r="E128" t="s">
        <v>27</v>
      </c>
      <c r="F128">
        <v>40</v>
      </c>
      <c r="G128" s="10">
        <v>44607</v>
      </c>
      <c r="H128" s="10"/>
      <c r="I128" t="s">
        <v>20</v>
      </c>
      <c r="J128">
        <v>1</v>
      </c>
      <c r="L128">
        <v>16.5</v>
      </c>
      <c r="M128" t="s">
        <v>42</v>
      </c>
      <c r="N128" s="15">
        <v>138981.25</v>
      </c>
      <c r="O128" t="s">
        <v>22</v>
      </c>
      <c r="P128">
        <v>4.3</v>
      </c>
      <c r="Q128" t="s">
        <v>685</v>
      </c>
      <c r="R128" t="s">
        <v>688</v>
      </c>
      <c r="S128">
        <f>YEAR(Cleaned_data[[#This Row],[Date_Hired]])</f>
        <v>2022</v>
      </c>
    </row>
    <row r="129" spans="1:19" x14ac:dyDescent="0.25">
      <c r="A129" t="s">
        <v>451</v>
      </c>
      <c r="B129" t="s">
        <v>452</v>
      </c>
      <c r="C129" t="s">
        <v>50</v>
      </c>
      <c r="D129" t="s">
        <v>40</v>
      </c>
      <c r="E129" t="s">
        <v>18</v>
      </c>
      <c r="F129">
        <v>37</v>
      </c>
      <c r="G129" s="10">
        <v>45037</v>
      </c>
      <c r="H129" s="10">
        <v>45552</v>
      </c>
      <c r="I129" t="s">
        <v>30</v>
      </c>
      <c r="J129">
        <v>2</v>
      </c>
      <c r="L129">
        <v>18.5</v>
      </c>
      <c r="M129" t="s">
        <v>42</v>
      </c>
      <c r="N129" s="15">
        <v>1063692.72</v>
      </c>
      <c r="O129" t="s">
        <v>31</v>
      </c>
      <c r="P129">
        <v>1.4</v>
      </c>
      <c r="Q129" t="s">
        <v>685</v>
      </c>
      <c r="R129" t="s">
        <v>690</v>
      </c>
      <c r="S129">
        <f>YEAR(Cleaned_data[[#This Row],[Date_Hired]])</f>
        <v>2023</v>
      </c>
    </row>
    <row r="130" spans="1:19" x14ac:dyDescent="0.25">
      <c r="A130" t="s">
        <v>455</v>
      </c>
      <c r="B130" t="s">
        <v>456</v>
      </c>
      <c r="C130" t="s">
        <v>50</v>
      </c>
      <c r="D130" t="s">
        <v>74</v>
      </c>
      <c r="E130" t="s">
        <v>18</v>
      </c>
      <c r="F130">
        <v>51</v>
      </c>
      <c r="G130" s="10">
        <v>44279</v>
      </c>
      <c r="H130" s="10"/>
      <c r="I130" t="s">
        <v>20</v>
      </c>
      <c r="J130">
        <v>1</v>
      </c>
      <c r="L130">
        <v>13.7</v>
      </c>
      <c r="M130" t="s">
        <v>47</v>
      </c>
      <c r="N130" s="15">
        <v>323872.17</v>
      </c>
      <c r="O130" t="s">
        <v>22</v>
      </c>
      <c r="P130">
        <v>5.2</v>
      </c>
      <c r="Q130" t="s">
        <v>687</v>
      </c>
      <c r="R130" t="s">
        <v>686</v>
      </c>
      <c r="S130">
        <f>YEAR(Cleaned_data[[#This Row],[Date_Hired]])</f>
        <v>2021</v>
      </c>
    </row>
    <row r="131" spans="1:19" x14ac:dyDescent="0.25">
      <c r="A131" t="s">
        <v>458</v>
      </c>
      <c r="B131" t="s">
        <v>144</v>
      </c>
      <c r="C131" t="s">
        <v>79</v>
      </c>
      <c r="D131" t="s">
        <v>17</v>
      </c>
      <c r="E131" t="s">
        <v>27</v>
      </c>
      <c r="F131">
        <v>58</v>
      </c>
      <c r="G131" s="10">
        <v>45234</v>
      </c>
      <c r="H131" s="10"/>
      <c r="I131" t="s">
        <v>20</v>
      </c>
      <c r="J131">
        <v>1</v>
      </c>
      <c r="L131">
        <v>0</v>
      </c>
      <c r="M131" t="s">
        <v>42</v>
      </c>
      <c r="N131" s="15">
        <v>974430.24</v>
      </c>
      <c r="O131" t="s">
        <v>22</v>
      </c>
      <c r="P131">
        <v>2.6</v>
      </c>
      <c r="Q131" t="s">
        <v>687</v>
      </c>
      <c r="R131" t="s">
        <v>684</v>
      </c>
      <c r="S131">
        <f>YEAR(Cleaned_data[[#This Row],[Date_Hired]])</f>
        <v>2023</v>
      </c>
    </row>
    <row r="132" spans="1:19" x14ac:dyDescent="0.25">
      <c r="A132" t="s">
        <v>460</v>
      </c>
      <c r="B132" t="s">
        <v>461</v>
      </c>
      <c r="C132" t="s">
        <v>45</v>
      </c>
      <c r="D132" t="s">
        <v>80</v>
      </c>
      <c r="E132" t="s">
        <v>18</v>
      </c>
      <c r="F132">
        <v>48</v>
      </c>
      <c r="G132" s="10">
        <v>44097</v>
      </c>
      <c r="H132" s="10">
        <v>44934</v>
      </c>
      <c r="I132" t="s">
        <v>30</v>
      </c>
      <c r="J132">
        <v>2</v>
      </c>
      <c r="L132">
        <v>18.3</v>
      </c>
      <c r="M132" t="s">
        <v>47</v>
      </c>
      <c r="N132" s="15">
        <v>993283.69</v>
      </c>
      <c r="O132" t="s">
        <v>31</v>
      </c>
      <c r="P132">
        <v>2.2999999999999998</v>
      </c>
      <c r="Q132" t="s">
        <v>689</v>
      </c>
      <c r="R132" t="s">
        <v>684</v>
      </c>
      <c r="S132">
        <f>YEAR(Cleaned_data[[#This Row],[Date_Hired]])</f>
        <v>2020</v>
      </c>
    </row>
    <row r="133" spans="1:19" x14ac:dyDescent="0.25">
      <c r="A133" t="s">
        <v>464</v>
      </c>
      <c r="B133" t="s">
        <v>465</v>
      </c>
      <c r="C133" t="s">
        <v>39</v>
      </c>
      <c r="D133" t="s">
        <v>40</v>
      </c>
      <c r="E133" t="s">
        <v>27</v>
      </c>
      <c r="F133">
        <v>39</v>
      </c>
      <c r="G133" s="10">
        <v>43865</v>
      </c>
      <c r="H133" s="10"/>
      <c r="I133" t="s">
        <v>20</v>
      </c>
      <c r="J133">
        <v>5</v>
      </c>
      <c r="L133">
        <v>11.1</v>
      </c>
      <c r="M133" t="s">
        <v>42</v>
      </c>
      <c r="N133" s="15">
        <v>1241221.9099999999</v>
      </c>
      <c r="O133" t="s">
        <v>22</v>
      </c>
      <c r="P133">
        <v>6.3</v>
      </c>
      <c r="Q133" t="s">
        <v>685</v>
      </c>
      <c r="R133" t="s">
        <v>690</v>
      </c>
      <c r="S133">
        <f>YEAR(Cleaned_data[[#This Row],[Date_Hired]])</f>
        <v>2020</v>
      </c>
    </row>
    <row r="134" spans="1:19" x14ac:dyDescent="0.25">
      <c r="A134" t="s">
        <v>467</v>
      </c>
      <c r="B134" t="s">
        <v>468</v>
      </c>
      <c r="C134" t="s">
        <v>79</v>
      </c>
      <c r="D134" t="s">
        <v>74</v>
      </c>
      <c r="E134" t="s">
        <v>27</v>
      </c>
      <c r="F134">
        <v>57</v>
      </c>
      <c r="G134" s="10">
        <v>45196</v>
      </c>
      <c r="H134" s="10"/>
      <c r="I134" t="s">
        <v>20</v>
      </c>
      <c r="J134">
        <v>1</v>
      </c>
      <c r="L134">
        <v>16.899999999999999</v>
      </c>
      <c r="M134" t="s">
        <v>71</v>
      </c>
      <c r="N134" s="15">
        <v>1097873.9099999999</v>
      </c>
      <c r="O134" t="s">
        <v>22</v>
      </c>
      <c r="P134">
        <v>2.7</v>
      </c>
      <c r="Q134" t="s">
        <v>687</v>
      </c>
      <c r="R134" t="s">
        <v>690</v>
      </c>
      <c r="S134">
        <f>YEAR(Cleaned_data[[#This Row],[Date_Hired]])</f>
        <v>2023</v>
      </c>
    </row>
    <row r="135" spans="1:19" x14ac:dyDescent="0.25">
      <c r="A135" t="s">
        <v>470</v>
      </c>
      <c r="B135" t="s">
        <v>471</v>
      </c>
      <c r="C135" t="s">
        <v>112</v>
      </c>
      <c r="D135" t="s">
        <v>87</v>
      </c>
      <c r="E135" t="s">
        <v>27</v>
      </c>
      <c r="F135">
        <v>54</v>
      </c>
      <c r="G135" s="10">
        <v>45193</v>
      </c>
      <c r="H135" s="10"/>
      <c r="I135" t="s">
        <v>20</v>
      </c>
      <c r="J135">
        <v>1</v>
      </c>
      <c r="L135">
        <v>7.1</v>
      </c>
      <c r="M135" t="s">
        <v>42</v>
      </c>
      <c r="N135" s="15">
        <v>1362441.15</v>
      </c>
      <c r="O135" t="s">
        <v>22</v>
      </c>
      <c r="P135">
        <v>2.7</v>
      </c>
      <c r="Q135" t="s">
        <v>687</v>
      </c>
      <c r="R135" t="s">
        <v>690</v>
      </c>
      <c r="S135">
        <f>YEAR(Cleaned_data[[#This Row],[Date_Hired]])</f>
        <v>2023</v>
      </c>
    </row>
    <row r="136" spans="1:19" x14ac:dyDescent="0.25">
      <c r="A136" t="s">
        <v>473</v>
      </c>
      <c r="B136" t="s">
        <v>474</v>
      </c>
      <c r="C136" t="s">
        <v>45</v>
      </c>
      <c r="D136" t="s">
        <v>17</v>
      </c>
      <c r="E136" t="s">
        <v>27</v>
      </c>
      <c r="F136">
        <v>40</v>
      </c>
      <c r="G136" s="10">
        <v>44005</v>
      </c>
      <c r="H136" s="10"/>
      <c r="I136" t="s">
        <v>20</v>
      </c>
      <c r="J136">
        <v>2</v>
      </c>
      <c r="L136">
        <v>16</v>
      </c>
      <c r="M136" t="s">
        <v>36</v>
      </c>
      <c r="N136" s="15">
        <v>718000</v>
      </c>
      <c r="O136" t="s">
        <v>22</v>
      </c>
      <c r="P136">
        <v>5.9</v>
      </c>
      <c r="Q136" t="s">
        <v>685</v>
      </c>
      <c r="R136" t="s">
        <v>684</v>
      </c>
      <c r="S136">
        <f>YEAR(Cleaned_data[[#This Row],[Date_Hired]])</f>
        <v>2020</v>
      </c>
    </row>
    <row r="137" spans="1:19" x14ac:dyDescent="0.25">
      <c r="A137" t="s">
        <v>476</v>
      </c>
      <c r="B137" t="s">
        <v>477</v>
      </c>
      <c r="C137" t="s">
        <v>45</v>
      </c>
      <c r="D137" t="s">
        <v>40</v>
      </c>
      <c r="E137" t="s">
        <v>18</v>
      </c>
      <c r="F137">
        <v>24</v>
      </c>
      <c r="G137" s="10">
        <v>44239</v>
      </c>
      <c r="H137" s="10">
        <v>45307</v>
      </c>
      <c r="I137" t="s">
        <v>30</v>
      </c>
      <c r="J137">
        <v>5</v>
      </c>
      <c r="L137">
        <v>9.1999999999999993</v>
      </c>
      <c r="M137" t="s">
        <v>36</v>
      </c>
      <c r="N137" s="15">
        <v>1485590.34</v>
      </c>
      <c r="O137" t="s">
        <v>31</v>
      </c>
      <c r="P137">
        <v>2.9</v>
      </c>
      <c r="Q137" t="s">
        <v>683</v>
      </c>
      <c r="R137" t="s">
        <v>690</v>
      </c>
      <c r="S137">
        <f>YEAR(Cleaned_data[[#This Row],[Date_Hired]])</f>
        <v>2021</v>
      </c>
    </row>
    <row r="138" spans="1:19" x14ac:dyDescent="0.25">
      <c r="A138" t="s">
        <v>480</v>
      </c>
      <c r="B138" t="s">
        <v>111</v>
      </c>
      <c r="C138" t="s">
        <v>65</v>
      </c>
      <c r="D138" t="s">
        <v>74</v>
      </c>
      <c r="E138" t="s">
        <v>27</v>
      </c>
      <c r="F138">
        <v>57</v>
      </c>
      <c r="G138" s="10">
        <v>45096</v>
      </c>
      <c r="H138" s="10">
        <v>46423</v>
      </c>
      <c r="I138" t="s">
        <v>30</v>
      </c>
      <c r="J138">
        <v>2</v>
      </c>
      <c r="L138">
        <v>0.5</v>
      </c>
      <c r="M138" t="s">
        <v>71</v>
      </c>
      <c r="N138" s="15">
        <v>504353.71</v>
      </c>
      <c r="O138" t="s">
        <v>31</v>
      </c>
      <c r="P138">
        <v>3.6</v>
      </c>
      <c r="Q138" t="s">
        <v>687</v>
      </c>
      <c r="R138" t="s">
        <v>686</v>
      </c>
      <c r="S138">
        <f>YEAR(Cleaned_data[[#This Row],[Date_Hired]])</f>
        <v>2023</v>
      </c>
    </row>
    <row r="139" spans="1:19" x14ac:dyDescent="0.25">
      <c r="A139" t="s">
        <v>483</v>
      </c>
      <c r="B139" t="s">
        <v>484</v>
      </c>
      <c r="C139" t="s">
        <v>45</v>
      </c>
      <c r="D139" t="s">
        <v>26</v>
      </c>
      <c r="E139" t="s">
        <v>18</v>
      </c>
      <c r="F139">
        <v>49</v>
      </c>
      <c r="G139" s="10">
        <v>43482</v>
      </c>
      <c r="H139" s="10"/>
      <c r="I139" t="s">
        <v>20</v>
      </c>
      <c r="J139">
        <v>5</v>
      </c>
      <c r="L139">
        <v>13.5</v>
      </c>
      <c r="M139" t="s">
        <v>47</v>
      </c>
      <c r="N139" s="15">
        <v>1452983.94</v>
      </c>
      <c r="O139" t="s">
        <v>22</v>
      </c>
      <c r="P139">
        <v>7.4</v>
      </c>
      <c r="Q139" t="s">
        <v>689</v>
      </c>
      <c r="R139" t="s">
        <v>690</v>
      </c>
      <c r="S139">
        <f>YEAR(Cleaned_data[[#This Row],[Date_Hired]])</f>
        <v>2019</v>
      </c>
    </row>
    <row r="140" spans="1:19" x14ac:dyDescent="0.25">
      <c r="A140" t="s">
        <v>486</v>
      </c>
      <c r="B140" t="s">
        <v>487</v>
      </c>
      <c r="C140" t="s">
        <v>39</v>
      </c>
      <c r="D140" t="s">
        <v>74</v>
      </c>
      <c r="E140" t="s">
        <v>18</v>
      </c>
      <c r="F140">
        <v>33</v>
      </c>
      <c r="G140" s="10">
        <v>44891</v>
      </c>
      <c r="H140" s="10"/>
      <c r="I140" t="s">
        <v>20</v>
      </c>
      <c r="J140">
        <v>1</v>
      </c>
      <c r="L140">
        <v>12.1</v>
      </c>
      <c r="M140" t="s">
        <v>21</v>
      </c>
      <c r="N140" s="15">
        <v>123522.03</v>
      </c>
      <c r="O140" t="s">
        <v>22</v>
      </c>
      <c r="P140">
        <v>3.5</v>
      </c>
      <c r="Q140" t="s">
        <v>685</v>
      </c>
      <c r="R140" t="s">
        <v>688</v>
      </c>
      <c r="S140">
        <f>YEAR(Cleaned_data[[#This Row],[Date_Hired]])</f>
        <v>2022</v>
      </c>
    </row>
    <row r="141" spans="1:19" x14ac:dyDescent="0.25">
      <c r="A141" t="s">
        <v>489</v>
      </c>
      <c r="B141" t="s">
        <v>490</v>
      </c>
      <c r="C141" t="s">
        <v>65</v>
      </c>
      <c r="D141" t="s">
        <v>17</v>
      </c>
      <c r="E141" t="s">
        <v>18</v>
      </c>
      <c r="F141">
        <v>39</v>
      </c>
      <c r="G141" s="10">
        <v>44726</v>
      </c>
      <c r="H141" s="10"/>
      <c r="I141" t="s">
        <v>20</v>
      </c>
      <c r="J141">
        <v>1</v>
      </c>
      <c r="L141">
        <v>10.199999999999999</v>
      </c>
      <c r="M141" t="s">
        <v>42</v>
      </c>
      <c r="N141" s="15">
        <v>423911.69</v>
      </c>
      <c r="O141" t="s">
        <v>22</v>
      </c>
      <c r="P141">
        <v>4</v>
      </c>
      <c r="Q141" t="s">
        <v>685</v>
      </c>
      <c r="R141" t="s">
        <v>686</v>
      </c>
      <c r="S141">
        <f>YEAR(Cleaned_data[[#This Row],[Date_Hired]])</f>
        <v>2022</v>
      </c>
    </row>
    <row r="142" spans="1:19" x14ac:dyDescent="0.25">
      <c r="A142" t="s">
        <v>492</v>
      </c>
      <c r="B142" t="s">
        <v>493</v>
      </c>
      <c r="C142" t="s">
        <v>65</v>
      </c>
      <c r="D142" t="s">
        <v>40</v>
      </c>
      <c r="E142" t="s">
        <v>18</v>
      </c>
      <c r="F142">
        <v>53</v>
      </c>
      <c r="G142" s="10">
        <v>44784</v>
      </c>
      <c r="H142" s="10"/>
      <c r="I142" t="s">
        <v>20</v>
      </c>
      <c r="J142">
        <v>1</v>
      </c>
      <c r="L142">
        <v>2.2000000000000002</v>
      </c>
      <c r="M142" t="s">
        <v>42</v>
      </c>
      <c r="N142" s="15">
        <v>781828.26</v>
      </c>
      <c r="O142" t="s">
        <v>22</v>
      </c>
      <c r="P142">
        <v>3.8</v>
      </c>
      <c r="Q142" t="s">
        <v>687</v>
      </c>
      <c r="R142" t="s">
        <v>684</v>
      </c>
      <c r="S142">
        <f>YEAR(Cleaned_data[[#This Row],[Date_Hired]])</f>
        <v>2022</v>
      </c>
    </row>
    <row r="143" spans="1:19" x14ac:dyDescent="0.25">
      <c r="A143" t="s">
        <v>495</v>
      </c>
      <c r="B143" t="s">
        <v>95</v>
      </c>
      <c r="C143" t="s">
        <v>112</v>
      </c>
      <c r="D143" t="s">
        <v>80</v>
      </c>
      <c r="E143" t="s">
        <v>27</v>
      </c>
      <c r="F143">
        <v>24</v>
      </c>
      <c r="G143" s="10">
        <v>45125</v>
      </c>
      <c r="H143" s="10">
        <v>45979</v>
      </c>
      <c r="I143" t="s">
        <v>30</v>
      </c>
      <c r="J143">
        <v>4</v>
      </c>
      <c r="L143">
        <v>14.9</v>
      </c>
      <c r="M143" t="s">
        <v>71</v>
      </c>
      <c r="N143" s="15">
        <v>1123529.24</v>
      </c>
      <c r="O143" t="s">
        <v>31</v>
      </c>
      <c r="P143">
        <v>2.2999999999999998</v>
      </c>
      <c r="Q143" t="s">
        <v>683</v>
      </c>
      <c r="R143" t="s">
        <v>690</v>
      </c>
      <c r="S143">
        <f>YEAR(Cleaned_data[[#This Row],[Date_Hired]])</f>
        <v>2023</v>
      </c>
    </row>
    <row r="144" spans="1:19" x14ac:dyDescent="0.25">
      <c r="A144" t="s">
        <v>498</v>
      </c>
      <c r="B144" t="s">
        <v>499</v>
      </c>
      <c r="C144" t="s">
        <v>112</v>
      </c>
      <c r="D144" t="s">
        <v>51</v>
      </c>
      <c r="E144" t="s">
        <v>18</v>
      </c>
      <c r="F144">
        <v>35</v>
      </c>
      <c r="G144" s="10">
        <v>43760</v>
      </c>
      <c r="H144" s="10">
        <v>44025</v>
      </c>
      <c r="I144" t="s">
        <v>30</v>
      </c>
      <c r="J144">
        <v>4</v>
      </c>
      <c r="L144">
        <v>14.5</v>
      </c>
      <c r="M144" t="s">
        <v>36</v>
      </c>
      <c r="N144" s="15">
        <v>450648.41</v>
      </c>
      <c r="O144" t="s">
        <v>31</v>
      </c>
      <c r="P144">
        <v>0.7</v>
      </c>
      <c r="Q144" t="s">
        <v>685</v>
      </c>
      <c r="R144" t="s">
        <v>686</v>
      </c>
      <c r="S144">
        <f>YEAR(Cleaned_data[[#This Row],[Date_Hired]])</f>
        <v>2019</v>
      </c>
    </row>
    <row r="145" spans="1:19" x14ac:dyDescent="0.25">
      <c r="A145" t="s">
        <v>502</v>
      </c>
      <c r="B145" t="s">
        <v>404</v>
      </c>
      <c r="C145" t="s">
        <v>50</v>
      </c>
      <c r="D145" t="s">
        <v>74</v>
      </c>
      <c r="E145" t="s">
        <v>27</v>
      </c>
      <c r="F145">
        <v>45</v>
      </c>
      <c r="G145" s="10">
        <v>44448</v>
      </c>
      <c r="H145" s="10"/>
      <c r="I145" t="s">
        <v>20</v>
      </c>
      <c r="J145">
        <v>0</v>
      </c>
      <c r="L145">
        <v>0.6</v>
      </c>
      <c r="M145" t="s">
        <v>42</v>
      </c>
      <c r="N145" s="15">
        <v>928573.89</v>
      </c>
      <c r="O145" t="s">
        <v>22</v>
      </c>
      <c r="P145">
        <v>4.7</v>
      </c>
      <c r="Q145" t="s">
        <v>689</v>
      </c>
      <c r="R145" t="s">
        <v>684</v>
      </c>
      <c r="S145">
        <f>YEAR(Cleaned_data[[#This Row],[Date_Hired]])</f>
        <v>2021</v>
      </c>
    </row>
    <row r="146" spans="1:19" x14ac:dyDescent="0.25">
      <c r="A146" t="s">
        <v>504</v>
      </c>
      <c r="B146" t="s">
        <v>61</v>
      </c>
      <c r="C146" t="s">
        <v>39</v>
      </c>
      <c r="D146" t="s">
        <v>17</v>
      </c>
      <c r="E146" t="s">
        <v>18</v>
      </c>
      <c r="F146">
        <v>52</v>
      </c>
      <c r="G146" s="10">
        <v>44354</v>
      </c>
      <c r="H146" s="10"/>
      <c r="I146" t="s">
        <v>20</v>
      </c>
      <c r="J146">
        <v>3</v>
      </c>
      <c r="L146">
        <v>14.3</v>
      </c>
      <c r="M146" t="s">
        <v>71</v>
      </c>
      <c r="N146" s="15">
        <v>1216804.48</v>
      </c>
      <c r="O146" t="s">
        <v>22</v>
      </c>
      <c r="P146">
        <v>5</v>
      </c>
      <c r="Q146" t="s">
        <v>687</v>
      </c>
      <c r="R146" t="s">
        <v>690</v>
      </c>
      <c r="S146">
        <f>YEAR(Cleaned_data[[#This Row],[Date_Hired]])</f>
        <v>2021</v>
      </c>
    </row>
    <row r="147" spans="1:19" x14ac:dyDescent="0.25">
      <c r="A147" t="s">
        <v>506</v>
      </c>
      <c r="B147" t="s">
        <v>136</v>
      </c>
      <c r="C147" t="s">
        <v>39</v>
      </c>
      <c r="D147" t="s">
        <v>96</v>
      </c>
      <c r="E147" t="s">
        <v>27</v>
      </c>
      <c r="F147">
        <v>55</v>
      </c>
      <c r="G147" s="10">
        <v>44707</v>
      </c>
      <c r="H147" s="10">
        <v>46280</v>
      </c>
      <c r="I147" t="s">
        <v>59</v>
      </c>
      <c r="J147">
        <v>5</v>
      </c>
      <c r="L147">
        <v>6.9</v>
      </c>
      <c r="M147" t="s">
        <v>21</v>
      </c>
      <c r="N147" s="15">
        <v>640154.14</v>
      </c>
      <c r="O147" t="s">
        <v>31</v>
      </c>
      <c r="P147">
        <v>4.3</v>
      </c>
      <c r="Q147" t="s">
        <v>687</v>
      </c>
      <c r="R147" t="s">
        <v>686</v>
      </c>
      <c r="S147">
        <f>YEAR(Cleaned_data[[#This Row],[Date_Hired]])</f>
        <v>2022</v>
      </c>
    </row>
    <row r="148" spans="1:19" x14ac:dyDescent="0.25">
      <c r="A148" t="s">
        <v>509</v>
      </c>
      <c r="B148" t="s">
        <v>414</v>
      </c>
      <c r="C148" t="s">
        <v>65</v>
      </c>
      <c r="D148" t="s">
        <v>17</v>
      </c>
      <c r="E148" t="s">
        <v>18</v>
      </c>
      <c r="F148">
        <v>45</v>
      </c>
      <c r="G148" s="10">
        <v>43830</v>
      </c>
      <c r="H148" s="10">
        <v>45586</v>
      </c>
      <c r="I148" t="s">
        <v>59</v>
      </c>
      <c r="J148">
        <v>4</v>
      </c>
      <c r="L148">
        <v>11.2</v>
      </c>
      <c r="M148" t="s">
        <v>42</v>
      </c>
      <c r="N148" s="15">
        <v>654773.93999999994</v>
      </c>
      <c r="O148" t="s">
        <v>31</v>
      </c>
      <c r="P148">
        <v>4.8</v>
      </c>
      <c r="Q148" t="s">
        <v>689</v>
      </c>
      <c r="R148" t="s">
        <v>686</v>
      </c>
      <c r="S148">
        <f>YEAR(Cleaned_data[[#This Row],[Date_Hired]])</f>
        <v>2019</v>
      </c>
    </row>
    <row r="149" spans="1:19" x14ac:dyDescent="0.25">
      <c r="A149" t="s">
        <v>512</v>
      </c>
      <c r="B149" t="s">
        <v>180</v>
      </c>
      <c r="C149" t="s">
        <v>79</v>
      </c>
      <c r="D149" t="s">
        <v>17</v>
      </c>
      <c r="E149" t="s">
        <v>27</v>
      </c>
      <c r="F149">
        <v>31</v>
      </c>
      <c r="G149" s="10">
        <v>43617</v>
      </c>
      <c r="H149" s="10">
        <v>45054</v>
      </c>
      <c r="I149" t="s">
        <v>59</v>
      </c>
      <c r="J149">
        <v>2</v>
      </c>
      <c r="L149">
        <v>14.9</v>
      </c>
      <c r="M149" t="s">
        <v>71</v>
      </c>
      <c r="N149" s="15">
        <v>1059781.6200000001</v>
      </c>
      <c r="O149" t="s">
        <v>31</v>
      </c>
      <c r="P149">
        <v>3.9</v>
      </c>
      <c r="Q149" t="s">
        <v>685</v>
      </c>
      <c r="R149" t="s">
        <v>690</v>
      </c>
      <c r="S149">
        <f>YEAR(Cleaned_data[[#This Row],[Date_Hired]])</f>
        <v>2019</v>
      </c>
    </row>
    <row r="150" spans="1:19" x14ac:dyDescent="0.25">
      <c r="A150" t="s">
        <v>515</v>
      </c>
      <c r="B150" t="s">
        <v>516</v>
      </c>
      <c r="C150" t="s">
        <v>16</v>
      </c>
      <c r="D150" t="s">
        <v>74</v>
      </c>
      <c r="E150" t="s">
        <v>18</v>
      </c>
      <c r="F150">
        <v>36</v>
      </c>
      <c r="G150" s="10">
        <v>44344</v>
      </c>
      <c r="H150" s="10">
        <v>44748</v>
      </c>
      <c r="I150" t="s">
        <v>59</v>
      </c>
      <c r="J150">
        <v>5</v>
      </c>
      <c r="L150">
        <v>12.2</v>
      </c>
      <c r="M150" t="s">
        <v>42</v>
      </c>
      <c r="N150" s="15">
        <v>1127809.1200000001</v>
      </c>
      <c r="O150" t="s">
        <v>31</v>
      </c>
      <c r="P150">
        <v>1.1000000000000001</v>
      </c>
      <c r="Q150" t="s">
        <v>685</v>
      </c>
      <c r="R150" t="s">
        <v>690</v>
      </c>
      <c r="S150">
        <f>YEAR(Cleaned_data[[#This Row],[Date_Hired]])</f>
        <v>2021</v>
      </c>
    </row>
    <row r="151" spans="1:19" x14ac:dyDescent="0.25">
      <c r="A151" t="s">
        <v>519</v>
      </c>
      <c r="B151" t="s">
        <v>520</v>
      </c>
      <c r="C151" t="s">
        <v>50</v>
      </c>
      <c r="D151" t="s">
        <v>74</v>
      </c>
      <c r="E151" t="s">
        <v>18</v>
      </c>
      <c r="F151">
        <v>24</v>
      </c>
      <c r="G151" s="10">
        <v>43820</v>
      </c>
      <c r="H151" s="10">
        <v>44665</v>
      </c>
      <c r="I151" t="s">
        <v>30</v>
      </c>
      <c r="J151">
        <v>4</v>
      </c>
      <c r="L151">
        <v>-2.2000000000000002</v>
      </c>
      <c r="M151" t="s">
        <v>71</v>
      </c>
      <c r="N151" s="15">
        <v>718000</v>
      </c>
      <c r="O151" t="s">
        <v>31</v>
      </c>
      <c r="P151">
        <v>2.2999999999999998</v>
      </c>
      <c r="Q151" t="s">
        <v>683</v>
      </c>
      <c r="R151" t="s">
        <v>684</v>
      </c>
      <c r="S151">
        <f>YEAR(Cleaned_data[[#This Row],[Date_Hired]])</f>
        <v>2019</v>
      </c>
    </row>
    <row r="152" spans="1:19" x14ac:dyDescent="0.25">
      <c r="A152" t="s">
        <v>523</v>
      </c>
      <c r="B152" t="s">
        <v>524</v>
      </c>
      <c r="C152" t="s">
        <v>45</v>
      </c>
      <c r="D152" t="s">
        <v>40</v>
      </c>
      <c r="E152" t="s">
        <v>18</v>
      </c>
      <c r="F152">
        <v>23</v>
      </c>
      <c r="G152" s="10">
        <v>44730</v>
      </c>
      <c r="H152" s="10"/>
      <c r="I152" t="s">
        <v>20</v>
      </c>
      <c r="J152">
        <v>4</v>
      </c>
      <c r="L152">
        <v>10.7</v>
      </c>
      <c r="M152" t="s">
        <v>21</v>
      </c>
      <c r="N152" s="15">
        <v>371289.33</v>
      </c>
      <c r="O152" t="s">
        <v>22</v>
      </c>
      <c r="P152">
        <v>3.9</v>
      </c>
      <c r="Q152" t="s">
        <v>683</v>
      </c>
      <c r="R152" t="s">
        <v>686</v>
      </c>
      <c r="S152">
        <f>YEAR(Cleaned_data[[#This Row],[Date_Hired]])</f>
        <v>2022</v>
      </c>
    </row>
    <row r="153" spans="1:19" x14ac:dyDescent="0.25">
      <c r="A153" t="s">
        <v>526</v>
      </c>
      <c r="B153" t="s">
        <v>55</v>
      </c>
      <c r="C153" t="s">
        <v>79</v>
      </c>
      <c r="D153" t="s">
        <v>96</v>
      </c>
      <c r="E153" t="s">
        <v>18</v>
      </c>
      <c r="F153">
        <v>41</v>
      </c>
      <c r="G153" s="10">
        <v>43661</v>
      </c>
      <c r="H153" s="10"/>
      <c r="I153" t="s">
        <v>20</v>
      </c>
      <c r="J153">
        <v>1</v>
      </c>
      <c r="L153">
        <v>5.8</v>
      </c>
      <c r="M153" t="s">
        <v>21</v>
      </c>
      <c r="N153" s="15">
        <v>189171.13</v>
      </c>
      <c r="O153" t="s">
        <v>22</v>
      </c>
      <c r="P153">
        <v>6.9</v>
      </c>
      <c r="Q153" t="s">
        <v>689</v>
      </c>
      <c r="R153" t="s">
        <v>688</v>
      </c>
      <c r="S153">
        <f>YEAR(Cleaned_data[[#This Row],[Date_Hired]])</f>
        <v>2019</v>
      </c>
    </row>
    <row r="154" spans="1:19" x14ac:dyDescent="0.25">
      <c r="A154" t="s">
        <v>528</v>
      </c>
      <c r="B154" t="s">
        <v>190</v>
      </c>
      <c r="C154" t="s">
        <v>39</v>
      </c>
      <c r="D154" t="s">
        <v>96</v>
      </c>
      <c r="E154" t="s">
        <v>27</v>
      </c>
      <c r="F154">
        <v>58</v>
      </c>
      <c r="G154" s="10">
        <v>44420</v>
      </c>
      <c r="H154" s="10"/>
      <c r="I154" t="s">
        <v>20</v>
      </c>
      <c r="J154">
        <v>1</v>
      </c>
      <c r="L154">
        <v>10.6</v>
      </c>
      <c r="M154" t="s">
        <v>47</v>
      </c>
      <c r="N154" s="15">
        <v>1312384.42</v>
      </c>
      <c r="O154" t="s">
        <v>22</v>
      </c>
      <c r="P154">
        <v>4.8</v>
      </c>
      <c r="Q154" t="s">
        <v>687</v>
      </c>
      <c r="R154" t="s">
        <v>690</v>
      </c>
      <c r="S154">
        <f>YEAR(Cleaned_data[[#This Row],[Date_Hired]])</f>
        <v>2021</v>
      </c>
    </row>
    <row r="155" spans="1:19" x14ac:dyDescent="0.25">
      <c r="A155" t="s">
        <v>531</v>
      </c>
      <c r="B155" t="s">
        <v>386</v>
      </c>
      <c r="C155" t="s">
        <v>65</v>
      </c>
      <c r="D155" t="s">
        <v>96</v>
      </c>
      <c r="E155" t="s">
        <v>27</v>
      </c>
      <c r="F155">
        <v>25</v>
      </c>
      <c r="G155" s="10">
        <v>44962</v>
      </c>
      <c r="H155" s="10">
        <v>46425</v>
      </c>
      <c r="I155" t="s">
        <v>30</v>
      </c>
      <c r="J155">
        <v>1</v>
      </c>
      <c r="L155">
        <v>13.2</v>
      </c>
      <c r="M155" t="s">
        <v>21</v>
      </c>
      <c r="N155" s="15">
        <v>973406.86</v>
      </c>
      <c r="O155" t="s">
        <v>31</v>
      </c>
      <c r="P155">
        <v>4</v>
      </c>
      <c r="Q155" t="s">
        <v>683</v>
      </c>
      <c r="R155" t="s">
        <v>684</v>
      </c>
      <c r="S155">
        <f>YEAR(Cleaned_data[[#This Row],[Date_Hired]])</f>
        <v>2023</v>
      </c>
    </row>
    <row r="156" spans="1:19" x14ac:dyDescent="0.25">
      <c r="A156" t="s">
        <v>534</v>
      </c>
      <c r="B156" t="s">
        <v>297</v>
      </c>
      <c r="C156" t="s">
        <v>50</v>
      </c>
      <c r="D156" t="s">
        <v>40</v>
      </c>
      <c r="E156" t="s">
        <v>27</v>
      </c>
      <c r="F156">
        <v>57</v>
      </c>
      <c r="G156" s="10">
        <v>43706</v>
      </c>
      <c r="H156" s="10"/>
      <c r="I156" t="s">
        <v>20</v>
      </c>
      <c r="J156">
        <v>1</v>
      </c>
      <c r="L156">
        <v>3.6</v>
      </c>
      <c r="M156" t="s">
        <v>21</v>
      </c>
      <c r="N156" s="15">
        <v>713875.06</v>
      </c>
      <c r="O156" t="s">
        <v>22</v>
      </c>
      <c r="P156">
        <v>6.7</v>
      </c>
      <c r="Q156" t="s">
        <v>687</v>
      </c>
      <c r="R156" t="s">
        <v>684</v>
      </c>
      <c r="S156">
        <f>YEAR(Cleaned_data[[#This Row],[Date_Hired]])</f>
        <v>2019</v>
      </c>
    </row>
    <row r="157" spans="1:19" x14ac:dyDescent="0.25">
      <c r="A157" t="s">
        <v>535</v>
      </c>
      <c r="B157" t="s">
        <v>346</v>
      </c>
      <c r="C157" t="s">
        <v>50</v>
      </c>
      <c r="D157" t="s">
        <v>26</v>
      </c>
      <c r="E157" t="s">
        <v>18</v>
      </c>
      <c r="F157">
        <v>43</v>
      </c>
      <c r="G157" s="10">
        <v>43481</v>
      </c>
      <c r="H157" s="10">
        <v>43710</v>
      </c>
      <c r="I157" t="s">
        <v>30</v>
      </c>
      <c r="J157">
        <v>5</v>
      </c>
      <c r="L157">
        <v>4.7</v>
      </c>
      <c r="M157" t="s">
        <v>36</v>
      </c>
      <c r="N157" s="15">
        <v>982073.85</v>
      </c>
      <c r="O157" t="s">
        <v>31</v>
      </c>
      <c r="P157">
        <v>0.6</v>
      </c>
      <c r="Q157" t="s">
        <v>689</v>
      </c>
      <c r="R157" t="s">
        <v>684</v>
      </c>
      <c r="S157">
        <f>YEAR(Cleaned_data[[#This Row],[Date_Hired]])</f>
        <v>2019</v>
      </c>
    </row>
    <row r="158" spans="1:19" x14ac:dyDescent="0.25">
      <c r="A158" t="s">
        <v>538</v>
      </c>
      <c r="B158" t="s">
        <v>344</v>
      </c>
      <c r="C158" t="s">
        <v>25</v>
      </c>
      <c r="D158" t="s">
        <v>40</v>
      </c>
      <c r="E158" t="s">
        <v>27</v>
      </c>
      <c r="F158">
        <v>33</v>
      </c>
      <c r="G158" s="10">
        <v>44964</v>
      </c>
      <c r="H158" s="10">
        <v>45929</v>
      </c>
      <c r="I158" t="s">
        <v>30</v>
      </c>
      <c r="J158">
        <v>1</v>
      </c>
      <c r="L158">
        <v>12.7</v>
      </c>
      <c r="M158" t="s">
        <v>71</v>
      </c>
      <c r="N158" s="15">
        <v>1078016.46</v>
      </c>
      <c r="O158" t="s">
        <v>31</v>
      </c>
      <c r="P158">
        <v>2.6</v>
      </c>
      <c r="Q158" t="s">
        <v>685</v>
      </c>
      <c r="R158" t="s">
        <v>690</v>
      </c>
      <c r="S158">
        <f>YEAR(Cleaned_data[[#This Row],[Date_Hired]])</f>
        <v>2023</v>
      </c>
    </row>
    <row r="159" spans="1:19" x14ac:dyDescent="0.25">
      <c r="A159" t="s">
        <v>541</v>
      </c>
      <c r="B159" t="s">
        <v>542</v>
      </c>
      <c r="C159" t="s">
        <v>79</v>
      </c>
      <c r="D159" t="s">
        <v>87</v>
      </c>
      <c r="E159" t="s">
        <v>27</v>
      </c>
      <c r="F159">
        <v>55</v>
      </c>
      <c r="G159" s="10">
        <v>43774</v>
      </c>
      <c r="H159" s="10">
        <v>44169</v>
      </c>
      <c r="I159" t="s">
        <v>59</v>
      </c>
      <c r="J159">
        <v>2</v>
      </c>
      <c r="L159">
        <v>4.8</v>
      </c>
      <c r="M159" t="s">
        <v>71</v>
      </c>
      <c r="N159" s="15">
        <v>258984.62</v>
      </c>
      <c r="O159" t="s">
        <v>31</v>
      </c>
      <c r="P159">
        <v>1.1000000000000001</v>
      </c>
      <c r="Q159" t="s">
        <v>687</v>
      </c>
      <c r="R159" t="s">
        <v>688</v>
      </c>
      <c r="S159">
        <f>YEAR(Cleaned_data[[#This Row],[Date_Hired]])</f>
        <v>2019</v>
      </c>
    </row>
    <row r="160" spans="1:19" x14ac:dyDescent="0.25">
      <c r="A160" t="s">
        <v>545</v>
      </c>
      <c r="B160" t="s">
        <v>546</v>
      </c>
      <c r="C160" t="s">
        <v>79</v>
      </c>
      <c r="D160" t="s">
        <v>51</v>
      </c>
      <c r="E160" t="s">
        <v>27</v>
      </c>
      <c r="F160">
        <v>40</v>
      </c>
      <c r="G160" s="10">
        <v>43536</v>
      </c>
      <c r="H160" s="10"/>
      <c r="I160" t="s">
        <v>20</v>
      </c>
      <c r="J160">
        <v>3</v>
      </c>
      <c r="L160">
        <v>13.7</v>
      </c>
      <c r="M160" t="s">
        <v>36</v>
      </c>
      <c r="N160" s="15">
        <v>396220.18</v>
      </c>
      <c r="O160" t="s">
        <v>22</v>
      </c>
      <c r="P160">
        <v>7.2</v>
      </c>
      <c r="Q160" t="s">
        <v>685</v>
      </c>
      <c r="R160" t="s">
        <v>686</v>
      </c>
      <c r="S160">
        <f>YEAR(Cleaned_data[[#This Row],[Date_Hired]])</f>
        <v>2019</v>
      </c>
    </row>
    <row r="161" spans="1:19" x14ac:dyDescent="0.25">
      <c r="A161" t="s">
        <v>548</v>
      </c>
      <c r="B161" t="s">
        <v>136</v>
      </c>
      <c r="C161" t="s">
        <v>50</v>
      </c>
      <c r="D161" t="s">
        <v>87</v>
      </c>
      <c r="E161" t="s">
        <v>27</v>
      </c>
      <c r="F161">
        <v>42</v>
      </c>
      <c r="G161" s="10">
        <v>44495</v>
      </c>
      <c r="H161" s="10"/>
      <c r="I161" t="s">
        <v>20</v>
      </c>
      <c r="J161">
        <v>1</v>
      </c>
      <c r="L161">
        <v>9.1</v>
      </c>
      <c r="M161" t="s">
        <v>36</v>
      </c>
      <c r="N161" s="15">
        <v>582581.05000000005</v>
      </c>
      <c r="O161" t="s">
        <v>22</v>
      </c>
      <c r="P161">
        <v>4.5999999999999996</v>
      </c>
      <c r="Q161" t="s">
        <v>689</v>
      </c>
      <c r="R161" t="s">
        <v>686</v>
      </c>
      <c r="S161">
        <f>YEAR(Cleaned_data[[#This Row],[Date_Hired]])</f>
        <v>2021</v>
      </c>
    </row>
    <row r="162" spans="1:19" x14ac:dyDescent="0.25">
      <c r="A162" t="s">
        <v>550</v>
      </c>
      <c r="B162" t="s">
        <v>131</v>
      </c>
      <c r="C162" t="s">
        <v>45</v>
      </c>
      <c r="D162" t="s">
        <v>74</v>
      </c>
      <c r="E162" t="s">
        <v>18</v>
      </c>
      <c r="F162">
        <v>45</v>
      </c>
      <c r="G162" s="10">
        <v>44924</v>
      </c>
      <c r="H162" s="10">
        <v>46300</v>
      </c>
      <c r="I162" t="s">
        <v>59</v>
      </c>
      <c r="J162">
        <v>4</v>
      </c>
      <c r="L162">
        <v>18.399999999999999</v>
      </c>
      <c r="M162" t="s">
        <v>47</v>
      </c>
      <c r="N162" s="15">
        <v>1466425.4</v>
      </c>
      <c r="O162" t="s">
        <v>31</v>
      </c>
      <c r="P162">
        <v>3.8</v>
      </c>
      <c r="Q162" t="s">
        <v>689</v>
      </c>
      <c r="R162" t="s">
        <v>690</v>
      </c>
      <c r="S162">
        <f>YEAR(Cleaned_data[[#This Row],[Date_Hired]])</f>
        <v>2022</v>
      </c>
    </row>
    <row r="163" spans="1:19" x14ac:dyDescent="0.25">
      <c r="A163" t="s">
        <v>553</v>
      </c>
      <c r="B163" t="s">
        <v>554</v>
      </c>
      <c r="C163" t="s">
        <v>79</v>
      </c>
      <c r="D163" t="s">
        <v>74</v>
      </c>
      <c r="E163" t="s">
        <v>18</v>
      </c>
      <c r="F163">
        <v>55</v>
      </c>
      <c r="G163" s="10">
        <v>44697</v>
      </c>
      <c r="H163" s="10">
        <v>46466</v>
      </c>
      <c r="I163" t="s">
        <v>30</v>
      </c>
      <c r="J163">
        <v>10</v>
      </c>
      <c r="L163">
        <v>0.2</v>
      </c>
      <c r="M163" t="s">
        <v>42</v>
      </c>
      <c r="N163" s="15">
        <v>1486684.54</v>
      </c>
      <c r="O163" t="s">
        <v>31</v>
      </c>
      <c r="P163">
        <v>4.8</v>
      </c>
      <c r="Q163" t="s">
        <v>687</v>
      </c>
      <c r="R163" t="s">
        <v>690</v>
      </c>
      <c r="S163">
        <f>YEAR(Cleaned_data[[#This Row],[Date_Hired]])</f>
        <v>2022</v>
      </c>
    </row>
    <row r="164" spans="1:19" x14ac:dyDescent="0.25">
      <c r="A164" t="s">
        <v>557</v>
      </c>
      <c r="B164" t="s">
        <v>558</v>
      </c>
      <c r="C164" t="s">
        <v>45</v>
      </c>
      <c r="D164" t="s">
        <v>17</v>
      </c>
      <c r="E164" t="s">
        <v>27</v>
      </c>
      <c r="F164">
        <v>24</v>
      </c>
      <c r="G164" s="10">
        <v>44454</v>
      </c>
      <c r="H164" s="10">
        <v>45785</v>
      </c>
      <c r="I164" t="s">
        <v>30</v>
      </c>
      <c r="J164">
        <v>2</v>
      </c>
      <c r="L164">
        <v>7.9</v>
      </c>
      <c r="M164" t="s">
        <v>47</v>
      </c>
      <c r="N164" s="15">
        <v>273368.23</v>
      </c>
      <c r="O164" t="s">
        <v>31</v>
      </c>
      <c r="P164">
        <v>3.6</v>
      </c>
      <c r="Q164" t="s">
        <v>683</v>
      </c>
      <c r="R164" t="s">
        <v>688</v>
      </c>
      <c r="S164">
        <f>YEAR(Cleaned_data[[#This Row],[Date_Hired]])</f>
        <v>2021</v>
      </c>
    </row>
    <row r="165" spans="1:19" x14ac:dyDescent="0.25">
      <c r="A165" t="s">
        <v>561</v>
      </c>
      <c r="B165" t="s">
        <v>371</v>
      </c>
      <c r="C165" t="s">
        <v>16</v>
      </c>
      <c r="D165" t="s">
        <v>51</v>
      </c>
      <c r="E165" t="s">
        <v>27</v>
      </c>
      <c r="F165">
        <v>42</v>
      </c>
      <c r="G165" s="10">
        <v>44730</v>
      </c>
      <c r="H165" s="10"/>
      <c r="I165" t="s">
        <v>20</v>
      </c>
      <c r="J165">
        <v>4</v>
      </c>
      <c r="L165">
        <v>10.4</v>
      </c>
      <c r="M165" t="s">
        <v>36</v>
      </c>
      <c r="N165" s="15">
        <v>1303098.73</v>
      </c>
      <c r="O165" t="s">
        <v>22</v>
      </c>
      <c r="P165">
        <v>3.9</v>
      </c>
      <c r="Q165" t="s">
        <v>689</v>
      </c>
      <c r="R165" t="s">
        <v>690</v>
      </c>
      <c r="S165">
        <f>YEAR(Cleaned_data[[#This Row],[Date_Hired]])</f>
        <v>2022</v>
      </c>
    </row>
    <row r="166" spans="1:19" x14ac:dyDescent="0.25">
      <c r="A166" t="s">
        <v>562</v>
      </c>
      <c r="B166" t="s">
        <v>563</v>
      </c>
      <c r="C166" t="s">
        <v>39</v>
      </c>
      <c r="D166" t="s">
        <v>74</v>
      </c>
      <c r="E166" t="s">
        <v>27</v>
      </c>
      <c r="F166">
        <v>43</v>
      </c>
      <c r="G166" s="10">
        <v>43544</v>
      </c>
      <c r="H166" s="10"/>
      <c r="I166" t="s">
        <v>20</v>
      </c>
      <c r="J166">
        <v>1</v>
      </c>
      <c r="L166">
        <v>0.4</v>
      </c>
      <c r="M166" t="s">
        <v>42</v>
      </c>
      <c r="N166" s="15">
        <v>718000</v>
      </c>
      <c r="O166" t="s">
        <v>22</v>
      </c>
      <c r="P166">
        <v>7.2</v>
      </c>
      <c r="Q166" t="s">
        <v>689</v>
      </c>
      <c r="R166" t="s">
        <v>684</v>
      </c>
      <c r="S166">
        <f>YEAR(Cleaned_data[[#This Row],[Date_Hired]])</f>
        <v>2019</v>
      </c>
    </row>
    <row r="167" spans="1:19" x14ac:dyDescent="0.25">
      <c r="A167" t="s">
        <v>565</v>
      </c>
      <c r="B167" t="s">
        <v>227</v>
      </c>
      <c r="C167" t="s">
        <v>79</v>
      </c>
      <c r="D167" t="s">
        <v>74</v>
      </c>
      <c r="E167" t="s">
        <v>18</v>
      </c>
      <c r="F167">
        <v>58</v>
      </c>
      <c r="G167" s="10">
        <v>44241</v>
      </c>
      <c r="H167" s="10"/>
      <c r="I167" t="s">
        <v>20</v>
      </c>
      <c r="J167">
        <v>5</v>
      </c>
      <c r="L167">
        <v>17.600000000000001</v>
      </c>
      <c r="M167" t="s">
        <v>71</v>
      </c>
      <c r="N167" s="15">
        <v>542393.42000000004</v>
      </c>
      <c r="O167" t="s">
        <v>22</v>
      </c>
      <c r="P167">
        <v>5.3</v>
      </c>
      <c r="Q167" t="s">
        <v>687</v>
      </c>
      <c r="R167" t="s">
        <v>686</v>
      </c>
      <c r="S167">
        <f>YEAR(Cleaned_data[[#This Row],[Date_Hired]])</f>
        <v>2021</v>
      </c>
    </row>
    <row r="168" spans="1:19" x14ac:dyDescent="0.25">
      <c r="A168" t="s">
        <v>567</v>
      </c>
      <c r="B168" t="s">
        <v>207</v>
      </c>
      <c r="C168" t="s">
        <v>16</v>
      </c>
      <c r="D168" t="s">
        <v>17</v>
      </c>
      <c r="E168" t="s">
        <v>18</v>
      </c>
      <c r="F168">
        <v>44</v>
      </c>
      <c r="G168" s="10">
        <v>43661</v>
      </c>
      <c r="H168" s="10">
        <v>44340</v>
      </c>
      <c r="I168" t="s">
        <v>30</v>
      </c>
      <c r="J168">
        <v>1</v>
      </c>
      <c r="L168">
        <v>3.3</v>
      </c>
      <c r="M168" t="s">
        <v>36</v>
      </c>
      <c r="N168" s="15">
        <v>275787.01</v>
      </c>
      <c r="O168" t="s">
        <v>31</v>
      </c>
      <c r="P168">
        <v>1.9</v>
      </c>
      <c r="Q168" t="s">
        <v>689</v>
      </c>
      <c r="R168" t="s">
        <v>688</v>
      </c>
      <c r="S168">
        <f>YEAR(Cleaned_data[[#This Row],[Date_Hired]])</f>
        <v>2019</v>
      </c>
    </row>
    <row r="169" spans="1:19" x14ac:dyDescent="0.25">
      <c r="A169" t="s">
        <v>569</v>
      </c>
      <c r="B169" t="s">
        <v>570</v>
      </c>
      <c r="C169" t="s">
        <v>65</v>
      </c>
      <c r="D169" t="s">
        <v>51</v>
      </c>
      <c r="E169" t="s">
        <v>691</v>
      </c>
      <c r="F169">
        <v>32</v>
      </c>
      <c r="G169" s="10">
        <v>43873</v>
      </c>
      <c r="H169" s="10">
        <v>44340</v>
      </c>
      <c r="I169" t="s">
        <v>59</v>
      </c>
      <c r="J169">
        <v>5</v>
      </c>
      <c r="L169">
        <v>10.6</v>
      </c>
      <c r="M169" t="s">
        <v>21</v>
      </c>
      <c r="N169" s="15">
        <v>902726.8</v>
      </c>
      <c r="O169" t="s">
        <v>31</v>
      </c>
      <c r="P169">
        <v>1.3</v>
      </c>
      <c r="Q169" t="s">
        <v>685</v>
      </c>
      <c r="R169" t="s">
        <v>684</v>
      </c>
      <c r="S169">
        <f>YEAR(Cleaned_data[[#This Row],[Date_Hired]])</f>
        <v>2020</v>
      </c>
    </row>
    <row r="170" spans="1:19" x14ac:dyDescent="0.25">
      <c r="A170" t="s">
        <v>572</v>
      </c>
      <c r="B170" t="s">
        <v>493</v>
      </c>
      <c r="C170" t="s">
        <v>45</v>
      </c>
      <c r="D170" t="s">
        <v>51</v>
      </c>
      <c r="E170" t="s">
        <v>27</v>
      </c>
      <c r="F170">
        <v>41</v>
      </c>
      <c r="G170" s="10">
        <v>44292</v>
      </c>
      <c r="H170" s="10"/>
      <c r="I170" t="s">
        <v>20</v>
      </c>
      <c r="J170">
        <v>4</v>
      </c>
      <c r="L170">
        <v>9.3000000000000007</v>
      </c>
      <c r="M170" t="s">
        <v>47</v>
      </c>
      <c r="N170" s="15">
        <v>260654.47</v>
      </c>
      <c r="O170" t="s">
        <v>22</v>
      </c>
      <c r="P170">
        <v>5.0999999999999996</v>
      </c>
      <c r="Q170" t="s">
        <v>689</v>
      </c>
      <c r="R170" t="s">
        <v>688</v>
      </c>
      <c r="S170">
        <f>YEAR(Cleaned_data[[#This Row],[Date_Hired]])</f>
        <v>2021</v>
      </c>
    </row>
    <row r="171" spans="1:19" x14ac:dyDescent="0.25">
      <c r="A171" t="s">
        <v>574</v>
      </c>
      <c r="B171" t="s">
        <v>575</v>
      </c>
      <c r="C171" t="s">
        <v>112</v>
      </c>
      <c r="D171" t="s">
        <v>17</v>
      </c>
      <c r="E171" t="s">
        <v>18</v>
      </c>
      <c r="F171">
        <v>52</v>
      </c>
      <c r="G171" s="10">
        <v>44767</v>
      </c>
      <c r="H171" s="10"/>
      <c r="I171" t="s">
        <v>20</v>
      </c>
      <c r="J171">
        <v>3</v>
      </c>
      <c r="L171">
        <v>14.3</v>
      </c>
      <c r="M171" t="s">
        <v>42</v>
      </c>
      <c r="N171" s="15">
        <v>386801.86</v>
      </c>
      <c r="O171" t="s">
        <v>22</v>
      </c>
      <c r="P171">
        <v>3.8</v>
      </c>
      <c r="Q171" t="s">
        <v>687</v>
      </c>
      <c r="R171" t="s">
        <v>686</v>
      </c>
      <c r="S171">
        <f>YEAR(Cleaned_data[[#This Row],[Date_Hired]])</f>
        <v>2022</v>
      </c>
    </row>
    <row r="172" spans="1:19" x14ac:dyDescent="0.25">
      <c r="A172" t="s">
        <v>577</v>
      </c>
      <c r="B172" t="s">
        <v>578</v>
      </c>
      <c r="C172" t="s">
        <v>65</v>
      </c>
      <c r="D172" t="s">
        <v>74</v>
      </c>
      <c r="E172" t="s">
        <v>18</v>
      </c>
      <c r="F172">
        <v>29</v>
      </c>
      <c r="G172" s="10">
        <v>44418</v>
      </c>
      <c r="H172" s="10"/>
      <c r="I172" t="s">
        <v>20</v>
      </c>
      <c r="J172">
        <v>3</v>
      </c>
      <c r="L172">
        <v>17.600000000000001</v>
      </c>
      <c r="M172" t="s">
        <v>47</v>
      </c>
      <c r="N172" s="15">
        <v>640396.64</v>
      </c>
      <c r="O172" t="s">
        <v>22</v>
      </c>
      <c r="P172">
        <v>4.8</v>
      </c>
      <c r="Q172" t="s">
        <v>683</v>
      </c>
      <c r="R172" t="s">
        <v>686</v>
      </c>
      <c r="S172">
        <f>YEAR(Cleaned_data[[#This Row],[Date_Hired]])</f>
        <v>2021</v>
      </c>
    </row>
    <row r="173" spans="1:19" x14ac:dyDescent="0.25">
      <c r="A173" t="s">
        <v>580</v>
      </c>
      <c r="B173" t="s">
        <v>581</v>
      </c>
      <c r="C173" t="s">
        <v>16</v>
      </c>
      <c r="D173" t="s">
        <v>51</v>
      </c>
      <c r="E173" t="s">
        <v>27</v>
      </c>
      <c r="F173">
        <v>58</v>
      </c>
      <c r="G173" s="10">
        <v>44763</v>
      </c>
      <c r="H173" s="10"/>
      <c r="I173" t="s">
        <v>20</v>
      </c>
      <c r="J173">
        <v>2</v>
      </c>
      <c r="L173">
        <v>4.2</v>
      </c>
      <c r="M173" t="s">
        <v>21</v>
      </c>
      <c r="N173" s="15">
        <v>250118.1</v>
      </c>
      <c r="O173" t="s">
        <v>22</v>
      </c>
      <c r="P173">
        <v>3.9</v>
      </c>
      <c r="Q173" t="s">
        <v>687</v>
      </c>
      <c r="R173" t="s">
        <v>688</v>
      </c>
      <c r="S173">
        <f>YEAR(Cleaned_data[[#This Row],[Date_Hired]])</f>
        <v>2022</v>
      </c>
    </row>
    <row r="174" spans="1:19" x14ac:dyDescent="0.25">
      <c r="A174" t="s">
        <v>583</v>
      </c>
      <c r="B174" t="s">
        <v>584</v>
      </c>
      <c r="C174" t="s">
        <v>79</v>
      </c>
      <c r="D174" t="s">
        <v>80</v>
      </c>
      <c r="E174" t="s">
        <v>27</v>
      </c>
      <c r="F174">
        <v>32</v>
      </c>
      <c r="G174" s="10">
        <v>43865</v>
      </c>
      <c r="H174" s="10">
        <v>45006</v>
      </c>
      <c r="I174" t="s">
        <v>30</v>
      </c>
      <c r="J174">
        <v>2</v>
      </c>
      <c r="L174">
        <v>17.899999999999999</v>
      </c>
      <c r="M174" t="s">
        <v>36</v>
      </c>
      <c r="N174" s="15">
        <v>552212.23</v>
      </c>
      <c r="O174" t="s">
        <v>31</v>
      </c>
      <c r="P174">
        <v>3.1</v>
      </c>
      <c r="Q174" t="s">
        <v>685</v>
      </c>
      <c r="R174" t="s">
        <v>686</v>
      </c>
      <c r="S174">
        <f>YEAR(Cleaned_data[[#This Row],[Date_Hired]])</f>
        <v>2020</v>
      </c>
    </row>
    <row r="175" spans="1:19" x14ac:dyDescent="0.25">
      <c r="A175" t="s">
        <v>586</v>
      </c>
      <c r="B175" t="s">
        <v>386</v>
      </c>
      <c r="C175" t="s">
        <v>39</v>
      </c>
      <c r="D175" t="s">
        <v>74</v>
      </c>
      <c r="E175" t="s">
        <v>18</v>
      </c>
      <c r="F175">
        <v>50</v>
      </c>
      <c r="G175" s="10">
        <v>44019</v>
      </c>
      <c r="H175" s="10">
        <v>45839</v>
      </c>
      <c r="I175" t="s">
        <v>30</v>
      </c>
      <c r="J175">
        <v>5</v>
      </c>
      <c r="L175">
        <v>4.7</v>
      </c>
      <c r="M175" t="s">
        <v>47</v>
      </c>
      <c r="N175" s="15">
        <v>343169.82</v>
      </c>
      <c r="O175" t="s">
        <v>31</v>
      </c>
      <c r="P175">
        <v>5</v>
      </c>
      <c r="Q175" t="s">
        <v>689</v>
      </c>
      <c r="R175" t="s">
        <v>686</v>
      </c>
      <c r="S175">
        <f>YEAR(Cleaned_data[[#This Row],[Date_Hired]])</f>
        <v>2020</v>
      </c>
    </row>
    <row r="176" spans="1:19" x14ac:dyDescent="0.25">
      <c r="A176" t="s">
        <v>589</v>
      </c>
      <c r="B176" t="s">
        <v>95</v>
      </c>
      <c r="C176" t="s">
        <v>65</v>
      </c>
      <c r="D176" t="s">
        <v>40</v>
      </c>
      <c r="E176" t="s">
        <v>692</v>
      </c>
      <c r="F176">
        <v>46</v>
      </c>
      <c r="G176" s="10">
        <v>44077</v>
      </c>
      <c r="H176" s="10">
        <v>44636</v>
      </c>
      <c r="I176" t="s">
        <v>59</v>
      </c>
      <c r="J176">
        <v>3</v>
      </c>
      <c r="L176">
        <v>9.1</v>
      </c>
      <c r="M176" t="s">
        <v>36</v>
      </c>
      <c r="N176" s="15">
        <v>883763.22</v>
      </c>
      <c r="O176" t="s">
        <v>31</v>
      </c>
      <c r="P176">
        <v>1.5</v>
      </c>
      <c r="Q176" t="s">
        <v>689</v>
      </c>
      <c r="R176" t="s">
        <v>684</v>
      </c>
      <c r="S176">
        <f>YEAR(Cleaned_data[[#This Row],[Date_Hired]])</f>
        <v>2020</v>
      </c>
    </row>
    <row r="177" spans="1:19" x14ac:dyDescent="0.25">
      <c r="A177" t="s">
        <v>593</v>
      </c>
      <c r="B177" t="s">
        <v>158</v>
      </c>
      <c r="C177" t="s">
        <v>45</v>
      </c>
      <c r="D177" t="s">
        <v>40</v>
      </c>
      <c r="E177" t="s">
        <v>18</v>
      </c>
      <c r="F177">
        <v>54</v>
      </c>
      <c r="G177" s="10">
        <v>44234</v>
      </c>
      <c r="H177" s="10">
        <v>44695</v>
      </c>
      <c r="I177" t="s">
        <v>30</v>
      </c>
      <c r="J177">
        <v>2</v>
      </c>
      <c r="L177">
        <v>5.3</v>
      </c>
      <c r="M177" t="s">
        <v>42</v>
      </c>
      <c r="N177" s="15">
        <v>663784.18999999994</v>
      </c>
      <c r="O177" t="s">
        <v>31</v>
      </c>
      <c r="P177">
        <v>1.3</v>
      </c>
      <c r="Q177" t="s">
        <v>687</v>
      </c>
      <c r="R177" t="s">
        <v>686</v>
      </c>
      <c r="S177">
        <f>YEAR(Cleaned_data[[#This Row],[Date_Hired]])</f>
        <v>2021</v>
      </c>
    </row>
    <row r="178" spans="1:19" x14ac:dyDescent="0.25">
      <c r="A178" t="s">
        <v>596</v>
      </c>
      <c r="B178" t="s">
        <v>597</v>
      </c>
      <c r="C178" t="s">
        <v>45</v>
      </c>
      <c r="D178" t="s">
        <v>96</v>
      </c>
      <c r="E178" t="s">
        <v>27</v>
      </c>
      <c r="F178">
        <v>38</v>
      </c>
      <c r="G178" s="10">
        <v>45257</v>
      </c>
      <c r="H178" s="10"/>
      <c r="I178" t="s">
        <v>20</v>
      </c>
      <c r="J178">
        <v>5</v>
      </c>
      <c r="L178">
        <v>3</v>
      </c>
      <c r="M178" t="s">
        <v>21</v>
      </c>
      <c r="N178" s="15">
        <v>127669.58</v>
      </c>
      <c r="O178" t="s">
        <v>22</v>
      </c>
      <c r="P178">
        <v>2.5</v>
      </c>
      <c r="Q178" t="s">
        <v>685</v>
      </c>
      <c r="R178" t="s">
        <v>688</v>
      </c>
      <c r="S178">
        <f>YEAR(Cleaned_data[[#This Row],[Date_Hired]])</f>
        <v>2023</v>
      </c>
    </row>
    <row r="179" spans="1:19" x14ac:dyDescent="0.25">
      <c r="A179" t="s">
        <v>599</v>
      </c>
      <c r="B179" t="s">
        <v>259</v>
      </c>
      <c r="C179" t="s">
        <v>25</v>
      </c>
      <c r="D179" t="s">
        <v>40</v>
      </c>
      <c r="E179" t="s">
        <v>18</v>
      </c>
      <c r="F179">
        <v>30</v>
      </c>
      <c r="G179" s="10">
        <v>44659</v>
      </c>
      <c r="H179" s="10"/>
      <c r="I179" t="s">
        <v>20</v>
      </c>
      <c r="J179">
        <v>3</v>
      </c>
      <c r="L179">
        <v>6.3</v>
      </c>
      <c r="M179" t="s">
        <v>42</v>
      </c>
      <c r="N179" s="15">
        <v>294510.8</v>
      </c>
      <c r="O179" t="s">
        <v>22</v>
      </c>
      <c r="P179">
        <v>4.0999999999999996</v>
      </c>
      <c r="Q179" t="s">
        <v>685</v>
      </c>
      <c r="R179" t="s">
        <v>688</v>
      </c>
      <c r="S179">
        <f>YEAR(Cleaned_data[[#This Row],[Date_Hired]])</f>
        <v>2022</v>
      </c>
    </row>
    <row r="180" spans="1:19" x14ac:dyDescent="0.25">
      <c r="A180" t="s">
        <v>601</v>
      </c>
      <c r="B180" t="s">
        <v>163</v>
      </c>
      <c r="C180" t="s">
        <v>50</v>
      </c>
      <c r="D180" t="s">
        <v>26</v>
      </c>
      <c r="E180" t="s">
        <v>18</v>
      </c>
      <c r="F180">
        <v>56</v>
      </c>
      <c r="G180" s="10">
        <v>44092</v>
      </c>
      <c r="H180" s="10">
        <v>44399</v>
      </c>
      <c r="I180" t="s">
        <v>30</v>
      </c>
      <c r="J180">
        <v>2</v>
      </c>
      <c r="L180">
        <v>14.9</v>
      </c>
      <c r="M180" t="s">
        <v>36</v>
      </c>
      <c r="N180" s="15">
        <v>261950.31</v>
      </c>
      <c r="O180" t="s">
        <v>31</v>
      </c>
      <c r="P180">
        <v>0.8</v>
      </c>
      <c r="Q180" t="s">
        <v>687</v>
      </c>
      <c r="R180" t="s">
        <v>688</v>
      </c>
      <c r="S180">
        <f>YEAR(Cleaned_data[[#This Row],[Date_Hired]])</f>
        <v>2020</v>
      </c>
    </row>
    <row r="181" spans="1:19" x14ac:dyDescent="0.25">
      <c r="A181" t="s">
        <v>604</v>
      </c>
      <c r="B181" t="s">
        <v>605</v>
      </c>
      <c r="C181" t="s">
        <v>50</v>
      </c>
      <c r="D181" t="s">
        <v>40</v>
      </c>
      <c r="E181" t="s">
        <v>27</v>
      </c>
      <c r="F181">
        <v>42</v>
      </c>
      <c r="G181" s="10">
        <v>43682</v>
      </c>
      <c r="H181" s="10"/>
      <c r="I181" t="s">
        <v>20</v>
      </c>
      <c r="J181">
        <v>10</v>
      </c>
      <c r="L181">
        <v>-4.2</v>
      </c>
      <c r="M181" t="s">
        <v>47</v>
      </c>
      <c r="N181" s="15">
        <v>718000</v>
      </c>
      <c r="O181" t="s">
        <v>22</v>
      </c>
      <c r="P181">
        <v>6.8</v>
      </c>
      <c r="Q181" t="s">
        <v>689</v>
      </c>
      <c r="R181" t="s">
        <v>684</v>
      </c>
      <c r="S181">
        <f>YEAR(Cleaned_data[[#This Row],[Date_Hired]])</f>
        <v>2019</v>
      </c>
    </row>
    <row r="182" spans="1:19" x14ac:dyDescent="0.25">
      <c r="A182" t="s">
        <v>607</v>
      </c>
      <c r="B182" t="s">
        <v>608</v>
      </c>
      <c r="C182" t="s">
        <v>39</v>
      </c>
      <c r="D182" t="s">
        <v>51</v>
      </c>
      <c r="E182" t="s">
        <v>18</v>
      </c>
      <c r="F182">
        <v>33</v>
      </c>
      <c r="G182" s="10">
        <v>44105</v>
      </c>
      <c r="H182" s="10">
        <v>44626</v>
      </c>
      <c r="I182" t="s">
        <v>59</v>
      </c>
      <c r="J182">
        <v>4</v>
      </c>
      <c r="L182">
        <v>11</v>
      </c>
      <c r="M182" t="s">
        <v>71</v>
      </c>
      <c r="N182" s="15">
        <v>788154.05</v>
      </c>
      <c r="O182" t="s">
        <v>31</v>
      </c>
      <c r="P182">
        <v>1.4</v>
      </c>
      <c r="Q182" t="s">
        <v>685</v>
      </c>
      <c r="R182" t="s">
        <v>684</v>
      </c>
      <c r="S182">
        <f>YEAR(Cleaned_data[[#This Row],[Date_Hired]])</f>
        <v>2020</v>
      </c>
    </row>
    <row r="183" spans="1:19" x14ac:dyDescent="0.25">
      <c r="A183" t="s">
        <v>611</v>
      </c>
      <c r="B183" t="s">
        <v>183</v>
      </c>
      <c r="C183" t="s">
        <v>65</v>
      </c>
      <c r="D183" t="s">
        <v>96</v>
      </c>
      <c r="E183" t="s">
        <v>27</v>
      </c>
      <c r="F183">
        <v>36</v>
      </c>
      <c r="G183" s="10">
        <v>44058</v>
      </c>
      <c r="H183" s="10">
        <v>45052</v>
      </c>
      <c r="I183" t="s">
        <v>59</v>
      </c>
      <c r="J183">
        <v>2</v>
      </c>
      <c r="L183">
        <v>2.2000000000000002</v>
      </c>
      <c r="M183" t="s">
        <v>71</v>
      </c>
      <c r="N183" s="15">
        <v>1008111.17</v>
      </c>
      <c r="O183" t="s">
        <v>31</v>
      </c>
      <c r="P183">
        <v>2.7</v>
      </c>
      <c r="Q183" t="s">
        <v>685</v>
      </c>
      <c r="R183" t="s">
        <v>690</v>
      </c>
      <c r="S183">
        <f>YEAR(Cleaned_data[[#This Row],[Date_Hired]])</f>
        <v>2020</v>
      </c>
    </row>
    <row r="184" spans="1:19" x14ac:dyDescent="0.25">
      <c r="A184" t="s">
        <v>614</v>
      </c>
      <c r="B184" t="s">
        <v>615</v>
      </c>
      <c r="C184" t="s">
        <v>79</v>
      </c>
      <c r="D184" t="s">
        <v>80</v>
      </c>
      <c r="E184" t="s">
        <v>27</v>
      </c>
      <c r="F184">
        <v>37</v>
      </c>
      <c r="G184" s="10">
        <v>44623</v>
      </c>
      <c r="H184" s="10">
        <v>45828</v>
      </c>
      <c r="I184" t="s">
        <v>59</v>
      </c>
      <c r="J184">
        <v>4</v>
      </c>
      <c r="L184">
        <v>9.6</v>
      </c>
      <c r="M184" t="s">
        <v>47</v>
      </c>
      <c r="N184" s="15">
        <v>956987.82</v>
      </c>
      <c r="O184" t="s">
        <v>31</v>
      </c>
      <c r="P184">
        <v>3.3</v>
      </c>
      <c r="Q184" t="s">
        <v>685</v>
      </c>
      <c r="R184" t="s">
        <v>684</v>
      </c>
      <c r="S184">
        <f>YEAR(Cleaned_data[[#This Row],[Date_Hired]])</f>
        <v>2022</v>
      </c>
    </row>
    <row r="185" spans="1:19" x14ac:dyDescent="0.25">
      <c r="A185" t="s">
        <v>618</v>
      </c>
      <c r="B185" t="s">
        <v>619</v>
      </c>
      <c r="C185" t="s">
        <v>112</v>
      </c>
      <c r="D185" t="s">
        <v>26</v>
      </c>
      <c r="E185" t="s">
        <v>27</v>
      </c>
      <c r="F185">
        <v>49</v>
      </c>
      <c r="G185" s="10">
        <v>43745</v>
      </c>
      <c r="H185" s="10">
        <v>44376</v>
      </c>
      <c r="I185" t="s">
        <v>59</v>
      </c>
      <c r="J185">
        <v>1</v>
      </c>
      <c r="L185">
        <v>7.8</v>
      </c>
      <c r="M185" t="s">
        <v>36</v>
      </c>
      <c r="N185" s="15">
        <v>94409.81</v>
      </c>
      <c r="O185" t="s">
        <v>31</v>
      </c>
      <c r="P185">
        <v>1.7</v>
      </c>
      <c r="Q185" t="s">
        <v>689</v>
      </c>
      <c r="R185" t="s">
        <v>688</v>
      </c>
      <c r="S185">
        <f>YEAR(Cleaned_data[[#This Row],[Date_Hired]])</f>
        <v>2019</v>
      </c>
    </row>
    <row r="186" spans="1:19" x14ac:dyDescent="0.25">
      <c r="A186" t="s">
        <v>622</v>
      </c>
      <c r="B186" t="s">
        <v>623</v>
      </c>
      <c r="C186" t="s">
        <v>39</v>
      </c>
      <c r="D186" t="s">
        <v>96</v>
      </c>
      <c r="E186" t="s">
        <v>18</v>
      </c>
      <c r="F186">
        <v>41</v>
      </c>
      <c r="G186" s="10">
        <v>44318</v>
      </c>
      <c r="H186" s="10">
        <v>45645</v>
      </c>
      <c r="I186" t="s">
        <v>30</v>
      </c>
      <c r="J186">
        <v>3</v>
      </c>
      <c r="L186">
        <v>15.9</v>
      </c>
      <c r="M186" t="s">
        <v>47</v>
      </c>
      <c r="N186" s="15">
        <v>559171.5</v>
      </c>
      <c r="O186" t="s">
        <v>31</v>
      </c>
      <c r="P186">
        <v>3.6</v>
      </c>
      <c r="Q186" t="s">
        <v>689</v>
      </c>
      <c r="R186" t="s">
        <v>686</v>
      </c>
      <c r="S186">
        <f>YEAR(Cleaned_data[[#This Row],[Date_Hired]])</f>
        <v>2021</v>
      </c>
    </row>
    <row r="187" spans="1:19" x14ac:dyDescent="0.25">
      <c r="A187" t="s">
        <v>626</v>
      </c>
      <c r="B187" t="s">
        <v>357</v>
      </c>
      <c r="C187" t="s">
        <v>39</v>
      </c>
      <c r="D187" t="s">
        <v>96</v>
      </c>
      <c r="E187" t="s">
        <v>27</v>
      </c>
      <c r="F187">
        <v>38</v>
      </c>
      <c r="G187" s="10">
        <v>44293</v>
      </c>
      <c r="H187" s="10"/>
      <c r="I187" t="s">
        <v>20</v>
      </c>
      <c r="J187">
        <v>4</v>
      </c>
      <c r="L187">
        <v>3.6</v>
      </c>
      <c r="M187" t="s">
        <v>47</v>
      </c>
      <c r="N187" s="15">
        <v>432866.25</v>
      </c>
      <c r="O187" t="s">
        <v>22</v>
      </c>
      <c r="P187">
        <v>5.0999999999999996</v>
      </c>
      <c r="Q187" t="s">
        <v>685</v>
      </c>
      <c r="R187" t="s">
        <v>686</v>
      </c>
      <c r="S187">
        <f>YEAR(Cleaned_data[[#This Row],[Date_Hired]])</f>
        <v>2021</v>
      </c>
    </row>
    <row r="188" spans="1:19" x14ac:dyDescent="0.25">
      <c r="A188" t="s">
        <v>628</v>
      </c>
      <c r="B188" t="s">
        <v>629</v>
      </c>
      <c r="C188" t="s">
        <v>45</v>
      </c>
      <c r="D188" t="s">
        <v>40</v>
      </c>
      <c r="E188" t="s">
        <v>18</v>
      </c>
      <c r="F188">
        <v>39</v>
      </c>
      <c r="G188" s="10">
        <v>44431</v>
      </c>
      <c r="H188" s="10"/>
      <c r="I188" t="s">
        <v>20</v>
      </c>
      <c r="J188">
        <v>3</v>
      </c>
      <c r="L188">
        <v>19.8</v>
      </c>
      <c r="M188" t="s">
        <v>21</v>
      </c>
      <c r="N188" s="15">
        <v>1203587.8999999999</v>
      </c>
      <c r="O188" t="s">
        <v>22</v>
      </c>
      <c r="P188">
        <v>4.8</v>
      </c>
      <c r="Q188" t="s">
        <v>685</v>
      </c>
      <c r="R188" t="s">
        <v>690</v>
      </c>
      <c r="S188">
        <f>YEAR(Cleaned_data[[#This Row],[Date_Hired]])</f>
        <v>2021</v>
      </c>
    </row>
    <row r="189" spans="1:19" x14ac:dyDescent="0.25">
      <c r="A189" t="s">
        <v>631</v>
      </c>
      <c r="B189" t="s">
        <v>265</v>
      </c>
      <c r="C189" t="s">
        <v>65</v>
      </c>
      <c r="D189" t="s">
        <v>80</v>
      </c>
      <c r="E189" t="s">
        <v>27</v>
      </c>
      <c r="F189">
        <v>28</v>
      </c>
      <c r="G189" s="10">
        <v>44042</v>
      </c>
      <c r="H189" s="10"/>
      <c r="I189" t="s">
        <v>20</v>
      </c>
      <c r="J189">
        <v>4</v>
      </c>
      <c r="L189">
        <v>13.4</v>
      </c>
      <c r="M189" t="s">
        <v>21</v>
      </c>
      <c r="N189" s="15">
        <v>409544.3</v>
      </c>
      <c r="O189" t="s">
        <v>22</v>
      </c>
      <c r="P189">
        <v>5.8</v>
      </c>
      <c r="Q189" t="s">
        <v>683</v>
      </c>
      <c r="R189" t="s">
        <v>686</v>
      </c>
      <c r="S189">
        <f>YEAR(Cleaned_data[[#This Row],[Date_Hired]])</f>
        <v>2020</v>
      </c>
    </row>
    <row r="190" spans="1:19" x14ac:dyDescent="0.25">
      <c r="A190" t="s">
        <v>633</v>
      </c>
      <c r="B190" t="s">
        <v>634</v>
      </c>
      <c r="C190" t="s">
        <v>50</v>
      </c>
      <c r="D190" t="s">
        <v>51</v>
      </c>
      <c r="E190" t="s">
        <v>18</v>
      </c>
      <c r="F190">
        <v>49</v>
      </c>
      <c r="G190" s="10">
        <v>44611</v>
      </c>
      <c r="H190" s="10"/>
      <c r="I190" t="s">
        <v>20</v>
      </c>
      <c r="J190">
        <v>3</v>
      </c>
      <c r="L190">
        <v>12</v>
      </c>
      <c r="M190" t="s">
        <v>36</v>
      </c>
      <c r="N190" s="15">
        <v>259844.34</v>
      </c>
      <c r="O190" t="s">
        <v>22</v>
      </c>
      <c r="P190">
        <v>4.3</v>
      </c>
      <c r="Q190" t="s">
        <v>689</v>
      </c>
      <c r="R190" t="s">
        <v>688</v>
      </c>
      <c r="S190">
        <f>YEAR(Cleaned_data[[#This Row],[Date_Hired]])</f>
        <v>2022</v>
      </c>
    </row>
    <row r="191" spans="1:19" x14ac:dyDescent="0.25">
      <c r="A191" t="s">
        <v>637</v>
      </c>
      <c r="B191" t="s">
        <v>154</v>
      </c>
      <c r="C191" t="s">
        <v>25</v>
      </c>
      <c r="D191" t="s">
        <v>17</v>
      </c>
      <c r="E191" t="s">
        <v>18</v>
      </c>
      <c r="F191">
        <v>37</v>
      </c>
      <c r="G191" s="10">
        <v>43811</v>
      </c>
      <c r="H191" s="10"/>
      <c r="I191" t="s">
        <v>20</v>
      </c>
      <c r="J191">
        <v>5</v>
      </c>
      <c r="L191">
        <v>9.1</v>
      </c>
      <c r="M191" t="s">
        <v>21</v>
      </c>
      <c r="N191" s="15">
        <v>284649.82</v>
      </c>
      <c r="O191" t="s">
        <v>22</v>
      </c>
      <c r="P191">
        <v>6.5</v>
      </c>
      <c r="Q191" t="s">
        <v>685</v>
      </c>
      <c r="R191" t="s">
        <v>688</v>
      </c>
      <c r="S191">
        <f>YEAR(Cleaned_data[[#This Row],[Date_Hired]])</f>
        <v>2019</v>
      </c>
    </row>
    <row r="192" spans="1:19" x14ac:dyDescent="0.25">
      <c r="A192" t="s">
        <v>639</v>
      </c>
      <c r="B192" t="s">
        <v>294</v>
      </c>
      <c r="C192" t="s">
        <v>112</v>
      </c>
      <c r="D192" t="s">
        <v>74</v>
      </c>
      <c r="E192" t="s">
        <v>27</v>
      </c>
      <c r="F192">
        <v>53</v>
      </c>
      <c r="G192" s="10">
        <v>45187</v>
      </c>
      <c r="H192" s="10"/>
      <c r="I192" t="s">
        <v>20</v>
      </c>
      <c r="J192">
        <v>5</v>
      </c>
      <c r="L192">
        <v>11.4</v>
      </c>
      <c r="M192" t="s">
        <v>47</v>
      </c>
      <c r="N192" s="15">
        <v>448798.39</v>
      </c>
      <c r="O192" t="s">
        <v>22</v>
      </c>
      <c r="P192">
        <v>2.7</v>
      </c>
      <c r="Q192" t="s">
        <v>687</v>
      </c>
      <c r="R192" t="s">
        <v>686</v>
      </c>
      <c r="S192">
        <f>YEAR(Cleaned_data[[#This Row],[Date_Hired]])</f>
        <v>2023</v>
      </c>
    </row>
    <row r="193" spans="1:19" x14ac:dyDescent="0.25">
      <c r="A193" t="s">
        <v>641</v>
      </c>
      <c r="B193" t="s">
        <v>516</v>
      </c>
      <c r="C193" t="s">
        <v>25</v>
      </c>
      <c r="D193" t="s">
        <v>74</v>
      </c>
      <c r="E193" t="s">
        <v>27</v>
      </c>
      <c r="F193">
        <v>35</v>
      </c>
      <c r="G193" s="10">
        <v>44924</v>
      </c>
      <c r="H193" s="10"/>
      <c r="I193" t="s">
        <v>20</v>
      </c>
      <c r="J193">
        <v>2</v>
      </c>
      <c r="L193">
        <v>10.1</v>
      </c>
      <c r="M193" t="s">
        <v>71</v>
      </c>
      <c r="N193" s="15">
        <v>82861.929999999993</v>
      </c>
      <c r="O193" t="s">
        <v>22</v>
      </c>
      <c r="P193">
        <v>3.4</v>
      </c>
      <c r="Q193" t="s">
        <v>685</v>
      </c>
      <c r="R193" t="s">
        <v>688</v>
      </c>
      <c r="S193">
        <f>YEAR(Cleaned_data[[#This Row],[Date_Hired]])</f>
        <v>2022</v>
      </c>
    </row>
    <row r="194" spans="1:19" x14ac:dyDescent="0.25">
      <c r="A194" t="s">
        <v>642</v>
      </c>
      <c r="B194" t="s">
        <v>252</v>
      </c>
      <c r="C194" t="s">
        <v>39</v>
      </c>
      <c r="D194" t="s">
        <v>26</v>
      </c>
      <c r="E194" t="s">
        <v>27</v>
      </c>
      <c r="F194">
        <v>33</v>
      </c>
      <c r="G194" s="10">
        <v>44347</v>
      </c>
      <c r="H194" s="10"/>
      <c r="I194" t="s">
        <v>20</v>
      </c>
      <c r="J194">
        <v>4</v>
      </c>
      <c r="L194">
        <v>1.5</v>
      </c>
      <c r="M194" t="s">
        <v>47</v>
      </c>
      <c r="N194" s="15">
        <v>934055.72</v>
      </c>
      <c r="O194" t="s">
        <v>22</v>
      </c>
      <c r="P194">
        <v>5</v>
      </c>
      <c r="Q194" t="s">
        <v>685</v>
      </c>
      <c r="R194" t="s">
        <v>684</v>
      </c>
      <c r="S194">
        <f>YEAR(Cleaned_data[[#This Row],[Date_Hired]])</f>
        <v>2021</v>
      </c>
    </row>
    <row r="195" spans="1:19" x14ac:dyDescent="0.25">
      <c r="A195" t="s">
        <v>644</v>
      </c>
      <c r="B195" t="s">
        <v>187</v>
      </c>
      <c r="C195" t="s">
        <v>50</v>
      </c>
      <c r="D195" t="s">
        <v>96</v>
      </c>
      <c r="E195" t="s">
        <v>27</v>
      </c>
      <c r="F195">
        <v>54</v>
      </c>
      <c r="G195" s="10">
        <v>44984</v>
      </c>
      <c r="H195" s="10"/>
      <c r="I195" t="s">
        <v>20</v>
      </c>
      <c r="J195">
        <v>2</v>
      </c>
      <c r="L195">
        <v>1.7</v>
      </c>
      <c r="M195" t="s">
        <v>71</v>
      </c>
      <c r="N195" s="15">
        <v>1402366.71</v>
      </c>
      <c r="O195" t="s">
        <v>22</v>
      </c>
      <c r="P195">
        <v>3.2</v>
      </c>
      <c r="Q195" t="s">
        <v>687</v>
      </c>
      <c r="R195" t="s">
        <v>690</v>
      </c>
      <c r="S195">
        <f>YEAR(Cleaned_data[[#This Row],[Date_Hired]])</f>
        <v>2023</v>
      </c>
    </row>
    <row r="196" spans="1:19" x14ac:dyDescent="0.25">
      <c r="A196" t="s">
        <v>646</v>
      </c>
      <c r="B196" t="s">
        <v>575</v>
      </c>
      <c r="C196" t="s">
        <v>112</v>
      </c>
      <c r="D196" t="s">
        <v>26</v>
      </c>
      <c r="E196" t="s">
        <v>27</v>
      </c>
      <c r="F196">
        <v>41</v>
      </c>
      <c r="G196" s="10">
        <v>43671</v>
      </c>
      <c r="H196" s="10"/>
      <c r="I196" t="s">
        <v>20</v>
      </c>
      <c r="J196">
        <v>5</v>
      </c>
      <c r="L196">
        <v>6.7</v>
      </c>
      <c r="M196" t="s">
        <v>71</v>
      </c>
      <c r="N196" s="15">
        <v>718000</v>
      </c>
      <c r="O196" t="s">
        <v>22</v>
      </c>
      <c r="P196">
        <v>6.8</v>
      </c>
      <c r="Q196" t="s">
        <v>689</v>
      </c>
      <c r="R196" t="s">
        <v>684</v>
      </c>
      <c r="S196">
        <f>YEAR(Cleaned_data[[#This Row],[Date_Hired]])</f>
        <v>2019</v>
      </c>
    </row>
    <row r="197" spans="1:19" x14ac:dyDescent="0.25">
      <c r="A197" t="s">
        <v>648</v>
      </c>
      <c r="B197" t="s">
        <v>649</v>
      </c>
      <c r="C197" t="s">
        <v>25</v>
      </c>
      <c r="D197" t="s">
        <v>40</v>
      </c>
      <c r="E197" t="s">
        <v>18</v>
      </c>
      <c r="F197">
        <v>52</v>
      </c>
      <c r="G197" s="10">
        <v>44646</v>
      </c>
      <c r="H197" s="10"/>
      <c r="I197" t="s">
        <v>20</v>
      </c>
      <c r="J197">
        <v>2</v>
      </c>
      <c r="L197">
        <v>13.9</v>
      </c>
      <c r="M197" t="s">
        <v>36</v>
      </c>
      <c r="N197" s="15">
        <v>1323071.4099999999</v>
      </c>
      <c r="O197" t="s">
        <v>22</v>
      </c>
      <c r="P197">
        <v>4.2</v>
      </c>
      <c r="Q197" t="s">
        <v>687</v>
      </c>
      <c r="R197" t="s">
        <v>690</v>
      </c>
      <c r="S197">
        <f>YEAR(Cleaned_data[[#This Row],[Date_Hired]])</f>
        <v>2022</v>
      </c>
    </row>
    <row r="198" spans="1:19" x14ac:dyDescent="0.25">
      <c r="A198" t="s">
        <v>651</v>
      </c>
      <c r="B198" t="s">
        <v>652</v>
      </c>
      <c r="C198" t="s">
        <v>45</v>
      </c>
      <c r="D198" t="s">
        <v>87</v>
      </c>
      <c r="E198" t="s">
        <v>27</v>
      </c>
      <c r="F198">
        <v>47</v>
      </c>
      <c r="G198" s="10">
        <v>44212</v>
      </c>
      <c r="H198" s="10">
        <v>44862</v>
      </c>
      <c r="I198" t="s">
        <v>30</v>
      </c>
      <c r="J198">
        <v>3</v>
      </c>
      <c r="L198">
        <v>7.1</v>
      </c>
      <c r="M198" t="s">
        <v>36</v>
      </c>
      <c r="N198" s="15">
        <v>416310.05</v>
      </c>
      <c r="O198" t="s">
        <v>31</v>
      </c>
      <c r="P198">
        <v>1.8</v>
      </c>
      <c r="Q198" t="s">
        <v>689</v>
      </c>
      <c r="R198" t="s">
        <v>686</v>
      </c>
      <c r="S198">
        <f>YEAR(Cleaned_data[[#This Row],[Date_Hired]])</f>
        <v>2021</v>
      </c>
    </row>
    <row r="199" spans="1:19" x14ac:dyDescent="0.25">
      <c r="A199" t="s">
        <v>655</v>
      </c>
      <c r="B199" t="s">
        <v>308</v>
      </c>
      <c r="C199" t="s">
        <v>50</v>
      </c>
      <c r="D199" t="s">
        <v>40</v>
      </c>
      <c r="E199" t="s">
        <v>27</v>
      </c>
      <c r="F199">
        <v>58</v>
      </c>
      <c r="G199" s="10">
        <v>43913</v>
      </c>
      <c r="H199" s="10">
        <v>45211</v>
      </c>
      <c r="I199" t="s">
        <v>30</v>
      </c>
      <c r="J199">
        <v>0</v>
      </c>
      <c r="L199">
        <v>2.9</v>
      </c>
      <c r="M199" t="s">
        <v>42</v>
      </c>
      <c r="N199" s="15">
        <v>569416.35</v>
      </c>
      <c r="O199" t="s">
        <v>31</v>
      </c>
      <c r="P199">
        <v>3.6</v>
      </c>
      <c r="Q199" t="s">
        <v>687</v>
      </c>
      <c r="R199" t="s">
        <v>686</v>
      </c>
      <c r="S199">
        <f>YEAR(Cleaned_data[[#This Row],[Date_Hired]])</f>
        <v>2020</v>
      </c>
    </row>
    <row r="200" spans="1:19" x14ac:dyDescent="0.25">
      <c r="A200" t="s">
        <v>658</v>
      </c>
      <c r="B200" t="s">
        <v>328</v>
      </c>
      <c r="C200" t="s">
        <v>65</v>
      </c>
      <c r="D200" t="s">
        <v>80</v>
      </c>
      <c r="E200" t="s">
        <v>27</v>
      </c>
      <c r="F200">
        <v>56</v>
      </c>
      <c r="G200" s="10">
        <v>43948</v>
      </c>
      <c r="H200" s="10">
        <v>45156</v>
      </c>
      <c r="I200" t="s">
        <v>59</v>
      </c>
      <c r="J200">
        <v>5</v>
      </c>
      <c r="L200">
        <v>1</v>
      </c>
      <c r="M200" t="s">
        <v>21</v>
      </c>
      <c r="N200" s="15">
        <v>307934.75</v>
      </c>
      <c r="O200" t="s">
        <v>31</v>
      </c>
      <c r="P200">
        <v>3.3</v>
      </c>
      <c r="Q200" t="s">
        <v>687</v>
      </c>
      <c r="R200" t="s">
        <v>686</v>
      </c>
      <c r="S200">
        <f>YEAR(Cleaned_data[[#This Row],[Date_Hired]])</f>
        <v>2020</v>
      </c>
    </row>
    <row r="201" spans="1:19" x14ac:dyDescent="0.25">
      <c r="A201" t="s">
        <v>661</v>
      </c>
      <c r="B201" t="s">
        <v>449</v>
      </c>
      <c r="C201" t="s">
        <v>79</v>
      </c>
      <c r="D201" t="s">
        <v>26</v>
      </c>
      <c r="E201" t="s">
        <v>27</v>
      </c>
      <c r="F201">
        <v>25</v>
      </c>
      <c r="G201" s="10">
        <v>44993</v>
      </c>
      <c r="H201" s="10">
        <v>45666</v>
      </c>
      <c r="I201" t="s">
        <v>59</v>
      </c>
      <c r="J201">
        <v>5</v>
      </c>
      <c r="L201">
        <v>6.1</v>
      </c>
      <c r="M201" t="s">
        <v>36</v>
      </c>
      <c r="N201" s="15">
        <v>978536.82</v>
      </c>
      <c r="O201" t="s">
        <v>31</v>
      </c>
      <c r="P201">
        <v>1.8</v>
      </c>
      <c r="Q201" t="s">
        <v>683</v>
      </c>
      <c r="R201" t="s">
        <v>684</v>
      </c>
      <c r="S201">
        <f>YEAR(Cleaned_data[[#This Row],[Date_Hired]])</f>
        <v>2023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7A07-6916-4085-8513-2D9B37CF1474}">
  <dimension ref="A1:D201"/>
  <sheetViews>
    <sheetView workbookViewId="0">
      <selection activeCell="C1" sqref="C1:C1048576"/>
    </sheetView>
  </sheetViews>
  <sheetFormatPr defaultRowHeight="15" x14ac:dyDescent="0.25"/>
  <cols>
    <col min="1" max="1" width="15" bestFit="1" customWidth="1"/>
    <col min="2" max="2" width="13.28515625" bestFit="1" customWidth="1"/>
    <col min="3" max="3" width="12.42578125" style="16" bestFit="1" customWidth="1"/>
    <col min="4" max="4" width="14.5703125" bestFit="1" customWidth="1"/>
  </cols>
  <sheetData>
    <row r="1" spans="1:4" x14ac:dyDescent="0.25">
      <c r="A1" t="s">
        <v>0</v>
      </c>
      <c r="B1" t="s">
        <v>6</v>
      </c>
      <c r="C1" s="17" t="s">
        <v>679</v>
      </c>
      <c r="D1" t="s">
        <v>693</v>
      </c>
    </row>
    <row r="2" spans="1:4" x14ac:dyDescent="0.25">
      <c r="A2" t="s">
        <v>14</v>
      </c>
      <c r="B2" s="10">
        <v>44065</v>
      </c>
      <c r="C2" s="16">
        <v>872210.52</v>
      </c>
      <c r="D2" t="s">
        <v>684</v>
      </c>
    </row>
    <row r="3" spans="1:4" x14ac:dyDescent="0.25">
      <c r="A3" t="s">
        <v>23</v>
      </c>
      <c r="B3" s="10">
        <v>45089</v>
      </c>
      <c r="C3" s="16">
        <v>339681.12</v>
      </c>
      <c r="D3" t="s">
        <v>686</v>
      </c>
    </row>
    <row r="4" spans="1:4" x14ac:dyDescent="0.25">
      <c r="A4" t="s">
        <v>32</v>
      </c>
      <c r="B4" s="10">
        <v>43632</v>
      </c>
      <c r="C4" s="16">
        <v>925355.42</v>
      </c>
      <c r="D4" t="s">
        <v>684</v>
      </c>
    </row>
    <row r="5" spans="1:4" x14ac:dyDescent="0.25">
      <c r="A5" t="s">
        <v>37</v>
      </c>
      <c r="B5" s="10">
        <v>43685</v>
      </c>
      <c r="C5" s="16">
        <v>970438.15</v>
      </c>
      <c r="D5" t="s">
        <v>684</v>
      </c>
    </row>
    <row r="6" spans="1:4" x14ac:dyDescent="0.25">
      <c r="A6" t="s">
        <v>43</v>
      </c>
      <c r="B6" s="10">
        <v>44434</v>
      </c>
      <c r="C6" s="16">
        <v>276446.95</v>
      </c>
      <c r="D6" t="s">
        <v>688</v>
      </c>
    </row>
    <row r="7" spans="1:4" x14ac:dyDescent="0.25">
      <c r="A7" t="s">
        <v>48</v>
      </c>
      <c r="B7" s="10">
        <v>43991</v>
      </c>
      <c r="C7" s="16">
        <v>159457.66</v>
      </c>
      <c r="D7" t="s">
        <v>688</v>
      </c>
    </row>
    <row r="8" spans="1:4" x14ac:dyDescent="0.25">
      <c r="A8" t="s">
        <v>54</v>
      </c>
      <c r="B8" s="10">
        <v>45136</v>
      </c>
      <c r="C8" s="16">
        <v>168321.51</v>
      </c>
      <c r="D8" t="s">
        <v>688</v>
      </c>
    </row>
    <row r="9" spans="1:4" x14ac:dyDescent="0.25">
      <c r="A9" t="s">
        <v>60</v>
      </c>
      <c r="B9" s="10">
        <v>44441</v>
      </c>
      <c r="C9" s="16">
        <v>1294403.69</v>
      </c>
      <c r="D9" t="s">
        <v>690</v>
      </c>
    </row>
    <row r="10" spans="1:4" x14ac:dyDescent="0.25">
      <c r="A10" t="s">
        <v>63</v>
      </c>
      <c r="B10" s="10">
        <v>44840</v>
      </c>
      <c r="C10" s="16">
        <v>618413.71</v>
      </c>
      <c r="D10" t="s">
        <v>686</v>
      </c>
    </row>
    <row r="11" spans="1:4" x14ac:dyDescent="0.25">
      <c r="A11" t="s">
        <v>68</v>
      </c>
      <c r="B11" s="10">
        <v>44574</v>
      </c>
      <c r="C11" s="16">
        <v>724307.49</v>
      </c>
      <c r="D11" t="s">
        <v>684</v>
      </c>
    </row>
    <row r="12" spans="1:4" x14ac:dyDescent="0.25">
      <c r="A12" t="s">
        <v>72</v>
      </c>
      <c r="B12" s="10">
        <v>44815</v>
      </c>
      <c r="C12" s="16">
        <v>1043803.98</v>
      </c>
      <c r="D12" t="s">
        <v>690</v>
      </c>
    </row>
    <row r="13" spans="1:4" x14ac:dyDescent="0.25">
      <c r="A13" t="s">
        <v>77</v>
      </c>
      <c r="B13" s="10">
        <v>45198</v>
      </c>
      <c r="C13" s="16">
        <v>1307309.75</v>
      </c>
      <c r="D13" t="s">
        <v>690</v>
      </c>
    </row>
    <row r="14" spans="1:4" x14ac:dyDescent="0.25">
      <c r="A14" t="s">
        <v>82</v>
      </c>
      <c r="B14" s="10">
        <v>44273</v>
      </c>
      <c r="C14" s="16">
        <v>648584.73</v>
      </c>
      <c r="D14" t="s">
        <v>686</v>
      </c>
    </row>
    <row r="15" spans="1:4" x14ac:dyDescent="0.25">
      <c r="A15" t="s">
        <v>85</v>
      </c>
      <c r="B15" s="10">
        <v>44203</v>
      </c>
      <c r="C15" s="16">
        <v>381203.33</v>
      </c>
      <c r="D15" t="s">
        <v>686</v>
      </c>
    </row>
    <row r="16" spans="1:4" x14ac:dyDescent="0.25">
      <c r="A16" t="s">
        <v>91</v>
      </c>
      <c r="B16" s="10">
        <v>45093</v>
      </c>
      <c r="C16" s="16">
        <v>718000</v>
      </c>
      <c r="D16" t="s">
        <v>684</v>
      </c>
    </row>
    <row r="17" spans="1:4" x14ac:dyDescent="0.25">
      <c r="A17" t="s">
        <v>94</v>
      </c>
      <c r="B17" s="10">
        <v>44396</v>
      </c>
      <c r="C17" s="16">
        <v>146963.95000000001</v>
      </c>
      <c r="D17" t="s">
        <v>688</v>
      </c>
    </row>
    <row r="18" spans="1:4" x14ac:dyDescent="0.25">
      <c r="A18" t="s">
        <v>99</v>
      </c>
      <c r="B18" s="10">
        <v>45066</v>
      </c>
      <c r="C18" s="16">
        <v>1387642.98</v>
      </c>
      <c r="D18" t="s">
        <v>690</v>
      </c>
    </row>
    <row r="19" spans="1:4" x14ac:dyDescent="0.25">
      <c r="A19" t="s">
        <v>102</v>
      </c>
      <c r="B19" s="10">
        <v>44930</v>
      </c>
      <c r="C19" s="16">
        <v>1127352.8600000001</v>
      </c>
      <c r="D19" t="s">
        <v>690</v>
      </c>
    </row>
    <row r="20" spans="1:4" x14ac:dyDescent="0.25">
      <c r="A20" t="s">
        <v>106</v>
      </c>
      <c r="B20" s="10">
        <v>44360</v>
      </c>
      <c r="C20" s="16">
        <v>650714.81999999995</v>
      </c>
      <c r="D20" t="s">
        <v>686</v>
      </c>
    </row>
    <row r="21" spans="1:4" x14ac:dyDescent="0.25">
      <c r="A21" t="s">
        <v>110</v>
      </c>
      <c r="B21" s="10">
        <v>44492</v>
      </c>
      <c r="C21" s="16">
        <v>992561.84</v>
      </c>
      <c r="D21" t="s">
        <v>684</v>
      </c>
    </row>
    <row r="22" spans="1:4" x14ac:dyDescent="0.25">
      <c r="A22" t="s">
        <v>114</v>
      </c>
      <c r="B22" s="10">
        <v>44086</v>
      </c>
      <c r="C22" s="16">
        <v>1068311.98</v>
      </c>
      <c r="D22" t="s">
        <v>690</v>
      </c>
    </row>
    <row r="23" spans="1:4" x14ac:dyDescent="0.25">
      <c r="A23" t="s">
        <v>117</v>
      </c>
      <c r="B23" s="10">
        <v>44351</v>
      </c>
      <c r="C23" s="16">
        <v>955755.03</v>
      </c>
      <c r="D23" t="s">
        <v>684</v>
      </c>
    </row>
    <row r="24" spans="1:4" x14ac:dyDescent="0.25">
      <c r="A24" t="s">
        <v>120</v>
      </c>
      <c r="B24" s="10">
        <v>44257</v>
      </c>
      <c r="C24" s="16">
        <v>866969.06</v>
      </c>
      <c r="D24" t="s">
        <v>684</v>
      </c>
    </row>
    <row r="25" spans="1:4" x14ac:dyDescent="0.25">
      <c r="A25" t="s">
        <v>123</v>
      </c>
      <c r="B25" s="10">
        <v>43508</v>
      </c>
      <c r="C25" s="16">
        <v>631365.69999999995</v>
      </c>
      <c r="D25" t="s">
        <v>686</v>
      </c>
    </row>
    <row r="26" spans="1:4" x14ac:dyDescent="0.25">
      <c r="A26" t="s">
        <v>126</v>
      </c>
      <c r="B26" s="10">
        <v>44897</v>
      </c>
      <c r="C26" s="16">
        <v>779793.35</v>
      </c>
      <c r="D26" t="s">
        <v>684</v>
      </c>
    </row>
    <row r="27" spans="1:4" x14ac:dyDescent="0.25">
      <c r="A27" t="s">
        <v>130</v>
      </c>
      <c r="B27" s="10">
        <v>44436</v>
      </c>
      <c r="C27" s="16">
        <v>803839.55</v>
      </c>
      <c r="D27" t="s">
        <v>684</v>
      </c>
    </row>
    <row r="28" spans="1:4" x14ac:dyDescent="0.25">
      <c r="A28" t="s">
        <v>133</v>
      </c>
      <c r="B28" s="10">
        <v>43528</v>
      </c>
      <c r="C28" s="16">
        <v>588950.28</v>
      </c>
      <c r="D28" t="s">
        <v>686</v>
      </c>
    </row>
    <row r="29" spans="1:4" x14ac:dyDescent="0.25">
      <c r="A29" t="s">
        <v>135</v>
      </c>
      <c r="B29" s="10">
        <v>44933</v>
      </c>
      <c r="C29" s="16">
        <v>473873.91</v>
      </c>
      <c r="D29" t="s">
        <v>686</v>
      </c>
    </row>
    <row r="30" spans="1:4" x14ac:dyDescent="0.25">
      <c r="A30" t="s">
        <v>140</v>
      </c>
      <c r="B30" s="10">
        <v>43969</v>
      </c>
      <c r="C30" s="16">
        <v>760893.91</v>
      </c>
      <c r="D30" t="s">
        <v>684</v>
      </c>
    </row>
    <row r="31" spans="1:4" x14ac:dyDescent="0.25">
      <c r="A31" t="s">
        <v>143</v>
      </c>
      <c r="B31" s="10">
        <v>43945</v>
      </c>
      <c r="C31" s="16">
        <v>718000</v>
      </c>
      <c r="D31" t="s">
        <v>684</v>
      </c>
    </row>
    <row r="32" spans="1:4" x14ac:dyDescent="0.25">
      <c r="A32" t="s">
        <v>146</v>
      </c>
      <c r="B32" s="10">
        <v>43557</v>
      </c>
      <c r="C32" s="16">
        <v>1434665.5</v>
      </c>
      <c r="D32" t="s">
        <v>690</v>
      </c>
    </row>
    <row r="33" spans="1:4" x14ac:dyDescent="0.25">
      <c r="A33" t="s">
        <v>148</v>
      </c>
      <c r="B33" s="10">
        <v>44699</v>
      </c>
      <c r="C33" s="16">
        <v>1188750.06</v>
      </c>
      <c r="D33" t="s">
        <v>690</v>
      </c>
    </row>
    <row r="34" spans="1:4" x14ac:dyDescent="0.25">
      <c r="A34" t="s">
        <v>151</v>
      </c>
      <c r="B34" s="10">
        <v>44304</v>
      </c>
      <c r="C34" s="16">
        <v>122359.87</v>
      </c>
      <c r="D34" t="s">
        <v>688</v>
      </c>
    </row>
    <row r="35" spans="1:4" x14ac:dyDescent="0.25">
      <c r="A35" t="s">
        <v>153</v>
      </c>
      <c r="B35" s="10">
        <v>44332</v>
      </c>
      <c r="C35" s="16">
        <v>946761.29</v>
      </c>
      <c r="D35" t="s">
        <v>684</v>
      </c>
    </row>
    <row r="36" spans="1:4" x14ac:dyDescent="0.25">
      <c r="A36" t="s">
        <v>157</v>
      </c>
      <c r="B36" s="10">
        <v>43701</v>
      </c>
      <c r="C36" s="16">
        <v>101757.79</v>
      </c>
      <c r="D36" t="s">
        <v>688</v>
      </c>
    </row>
    <row r="37" spans="1:4" x14ac:dyDescent="0.25">
      <c r="A37" t="s">
        <v>162</v>
      </c>
      <c r="B37" s="10">
        <v>44814</v>
      </c>
      <c r="C37" s="16">
        <v>1299874.53</v>
      </c>
      <c r="D37" t="s">
        <v>690</v>
      </c>
    </row>
    <row r="38" spans="1:4" x14ac:dyDescent="0.25">
      <c r="A38" t="s">
        <v>167</v>
      </c>
      <c r="B38" s="10">
        <v>43719</v>
      </c>
      <c r="C38" s="16">
        <v>1385149.04</v>
      </c>
      <c r="D38" t="s">
        <v>690</v>
      </c>
    </row>
    <row r="39" spans="1:4" x14ac:dyDescent="0.25">
      <c r="A39" t="s">
        <v>170</v>
      </c>
      <c r="B39" s="10">
        <v>43706</v>
      </c>
      <c r="C39" s="16">
        <v>118976.86</v>
      </c>
      <c r="D39" t="s">
        <v>688</v>
      </c>
    </row>
    <row r="40" spans="1:4" x14ac:dyDescent="0.25">
      <c r="A40" t="s">
        <v>173</v>
      </c>
      <c r="B40" s="10">
        <v>44920</v>
      </c>
      <c r="C40" s="16">
        <v>1122493.98</v>
      </c>
      <c r="D40" t="s">
        <v>690</v>
      </c>
    </row>
    <row r="41" spans="1:4" x14ac:dyDescent="0.25">
      <c r="A41" t="s">
        <v>175</v>
      </c>
      <c r="B41" s="10">
        <v>43543</v>
      </c>
      <c r="C41" s="16">
        <v>236697.58</v>
      </c>
      <c r="D41" t="s">
        <v>688</v>
      </c>
    </row>
    <row r="42" spans="1:4" x14ac:dyDescent="0.25">
      <c r="A42" t="s">
        <v>179</v>
      </c>
      <c r="B42" s="10">
        <v>43603</v>
      </c>
      <c r="C42" s="16">
        <v>181814.04</v>
      </c>
      <c r="D42" t="s">
        <v>688</v>
      </c>
    </row>
    <row r="43" spans="1:4" x14ac:dyDescent="0.25">
      <c r="A43" t="s">
        <v>182</v>
      </c>
      <c r="B43" s="10">
        <v>44305</v>
      </c>
      <c r="C43" s="16">
        <v>441628.89</v>
      </c>
      <c r="D43" t="s">
        <v>686</v>
      </c>
    </row>
    <row r="44" spans="1:4" x14ac:dyDescent="0.25">
      <c r="A44" t="s">
        <v>186</v>
      </c>
      <c r="B44" s="10">
        <v>43660</v>
      </c>
      <c r="C44" s="16">
        <v>698048.35</v>
      </c>
      <c r="D44" t="s">
        <v>686</v>
      </c>
    </row>
    <row r="45" spans="1:4" x14ac:dyDescent="0.25">
      <c r="A45" t="s">
        <v>189</v>
      </c>
      <c r="B45" s="10">
        <v>44091</v>
      </c>
      <c r="C45" s="16">
        <v>201579.78</v>
      </c>
      <c r="D45" t="s">
        <v>688</v>
      </c>
    </row>
    <row r="46" spans="1:4" x14ac:dyDescent="0.25">
      <c r="A46" t="s">
        <v>193</v>
      </c>
      <c r="B46" s="10">
        <v>45285</v>
      </c>
      <c r="C46" s="16">
        <v>718000</v>
      </c>
      <c r="D46" t="s">
        <v>684</v>
      </c>
    </row>
    <row r="47" spans="1:4" x14ac:dyDescent="0.25">
      <c r="A47" t="s">
        <v>197</v>
      </c>
      <c r="B47" s="10">
        <v>44350</v>
      </c>
      <c r="C47" s="16">
        <v>967121.22</v>
      </c>
      <c r="D47" t="s">
        <v>684</v>
      </c>
    </row>
    <row r="48" spans="1:4" x14ac:dyDescent="0.25">
      <c r="A48" t="s">
        <v>201</v>
      </c>
      <c r="B48" s="10">
        <v>44270</v>
      </c>
      <c r="C48" s="16">
        <v>1048085.81</v>
      </c>
      <c r="D48" t="s">
        <v>690</v>
      </c>
    </row>
    <row r="49" spans="1:4" x14ac:dyDescent="0.25">
      <c r="A49" t="s">
        <v>204</v>
      </c>
      <c r="B49" s="10">
        <v>43484</v>
      </c>
      <c r="C49" s="16">
        <v>1274595.54</v>
      </c>
      <c r="D49" t="s">
        <v>690</v>
      </c>
    </row>
    <row r="50" spans="1:4" x14ac:dyDescent="0.25">
      <c r="A50" t="s">
        <v>206</v>
      </c>
      <c r="B50" s="10">
        <v>44423</v>
      </c>
      <c r="C50" s="16">
        <v>332588.59999999998</v>
      </c>
      <c r="D50" t="s">
        <v>686</v>
      </c>
    </row>
    <row r="51" spans="1:4" x14ac:dyDescent="0.25">
      <c r="A51" t="s">
        <v>209</v>
      </c>
      <c r="B51" s="10">
        <v>44245</v>
      </c>
      <c r="C51" s="16">
        <v>1202518.95</v>
      </c>
      <c r="D51" t="s">
        <v>690</v>
      </c>
    </row>
    <row r="52" spans="1:4" x14ac:dyDescent="0.25">
      <c r="A52" t="s">
        <v>213</v>
      </c>
      <c r="B52" s="10">
        <v>44288</v>
      </c>
      <c r="C52" s="16">
        <v>300519.62</v>
      </c>
      <c r="D52" t="s">
        <v>686</v>
      </c>
    </row>
    <row r="53" spans="1:4" x14ac:dyDescent="0.25">
      <c r="A53" t="s">
        <v>216</v>
      </c>
      <c r="B53" s="10">
        <v>44526</v>
      </c>
      <c r="C53" s="16">
        <v>134724.98000000001</v>
      </c>
      <c r="D53" t="s">
        <v>688</v>
      </c>
    </row>
    <row r="54" spans="1:4" x14ac:dyDescent="0.25">
      <c r="A54" t="s">
        <v>220</v>
      </c>
      <c r="B54" s="10">
        <v>44214</v>
      </c>
      <c r="C54" s="16">
        <v>212867.47</v>
      </c>
      <c r="D54" t="s">
        <v>688</v>
      </c>
    </row>
    <row r="55" spans="1:4" x14ac:dyDescent="0.25">
      <c r="A55" t="s">
        <v>223</v>
      </c>
      <c r="B55" s="10">
        <v>44189</v>
      </c>
      <c r="C55" s="16">
        <v>443985.51</v>
      </c>
      <c r="D55" t="s">
        <v>686</v>
      </c>
    </row>
    <row r="56" spans="1:4" x14ac:dyDescent="0.25">
      <c r="A56" t="s">
        <v>226</v>
      </c>
      <c r="B56" s="10">
        <v>45182</v>
      </c>
      <c r="C56" s="16">
        <v>230025.85</v>
      </c>
      <c r="D56" t="s">
        <v>688</v>
      </c>
    </row>
    <row r="57" spans="1:4" x14ac:dyDescent="0.25">
      <c r="A57" t="s">
        <v>229</v>
      </c>
      <c r="B57" s="10">
        <v>44511</v>
      </c>
      <c r="C57" s="16">
        <v>233132.05</v>
      </c>
      <c r="D57" t="s">
        <v>688</v>
      </c>
    </row>
    <row r="58" spans="1:4" x14ac:dyDescent="0.25">
      <c r="A58" t="s">
        <v>232</v>
      </c>
      <c r="B58" s="10">
        <v>43632</v>
      </c>
      <c r="C58" s="16">
        <v>328330.82</v>
      </c>
      <c r="D58" t="s">
        <v>686</v>
      </c>
    </row>
    <row r="59" spans="1:4" x14ac:dyDescent="0.25">
      <c r="A59" t="s">
        <v>233</v>
      </c>
      <c r="B59" s="10">
        <v>44866</v>
      </c>
      <c r="C59" s="16">
        <v>1184149.05</v>
      </c>
      <c r="D59" t="s">
        <v>690</v>
      </c>
    </row>
    <row r="60" spans="1:4" x14ac:dyDescent="0.25">
      <c r="A60" t="s">
        <v>237</v>
      </c>
      <c r="B60" s="10">
        <v>44818</v>
      </c>
      <c r="C60" s="16">
        <v>961567.63</v>
      </c>
      <c r="D60" t="s">
        <v>684</v>
      </c>
    </row>
    <row r="61" spans="1:4" x14ac:dyDescent="0.25">
      <c r="A61" t="s">
        <v>240</v>
      </c>
      <c r="B61" s="10">
        <v>44777</v>
      </c>
      <c r="C61" s="16">
        <v>718000</v>
      </c>
      <c r="D61" t="s">
        <v>684</v>
      </c>
    </row>
    <row r="62" spans="1:4" x14ac:dyDescent="0.25">
      <c r="A62" t="s">
        <v>242</v>
      </c>
      <c r="B62" s="10">
        <v>44246</v>
      </c>
      <c r="C62" s="16">
        <v>1018907.4</v>
      </c>
      <c r="D62" t="s">
        <v>690</v>
      </c>
    </row>
    <row r="63" spans="1:4" x14ac:dyDescent="0.25">
      <c r="A63" t="s">
        <v>245</v>
      </c>
      <c r="B63" s="10">
        <v>44685</v>
      </c>
      <c r="C63" s="16">
        <v>780556.51</v>
      </c>
      <c r="D63" t="s">
        <v>684</v>
      </c>
    </row>
    <row r="64" spans="1:4" x14ac:dyDescent="0.25">
      <c r="A64" t="s">
        <v>248</v>
      </c>
      <c r="B64" s="10">
        <v>44644</v>
      </c>
      <c r="C64" s="16">
        <v>408153.91</v>
      </c>
      <c r="D64" t="s">
        <v>686</v>
      </c>
    </row>
    <row r="65" spans="1:4" x14ac:dyDescent="0.25">
      <c r="A65" t="s">
        <v>251</v>
      </c>
      <c r="B65" s="10">
        <v>44684</v>
      </c>
      <c r="C65" s="16">
        <v>687552.88</v>
      </c>
      <c r="D65" t="s">
        <v>686</v>
      </c>
    </row>
    <row r="66" spans="1:4" x14ac:dyDescent="0.25">
      <c r="A66" t="s">
        <v>254</v>
      </c>
      <c r="B66" s="10">
        <v>43938</v>
      </c>
      <c r="C66" s="16">
        <v>630800.52</v>
      </c>
      <c r="D66" t="s">
        <v>686</v>
      </c>
    </row>
    <row r="67" spans="1:4" x14ac:dyDescent="0.25">
      <c r="A67" t="s">
        <v>258</v>
      </c>
      <c r="B67" s="10">
        <v>43494</v>
      </c>
      <c r="C67" s="16">
        <v>1395490.7</v>
      </c>
      <c r="D67" t="s">
        <v>690</v>
      </c>
    </row>
    <row r="68" spans="1:4" x14ac:dyDescent="0.25">
      <c r="A68" t="s">
        <v>261</v>
      </c>
      <c r="B68" s="10">
        <v>43580</v>
      </c>
      <c r="C68" s="16">
        <v>1441418.56</v>
      </c>
      <c r="D68" t="s">
        <v>690</v>
      </c>
    </row>
    <row r="69" spans="1:4" x14ac:dyDescent="0.25">
      <c r="A69" t="s">
        <v>264</v>
      </c>
      <c r="B69" s="10">
        <v>44399</v>
      </c>
      <c r="C69" s="16">
        <v>672132.95</v>
      </c>
      <c r="D69" t="s">
        <v>686</v>
      </c>
    </row>
    <row r="70" spans="1:4" x14ac:dyDescent="0.25">
      <c r="A70" t="s">
        <v>267</v>
      </c>
      <c r="B70" s="10">
        <v>45180</v>
      </c>
      <c r="C70" s="16">
        <v>940479.45</v>
      </c>
      <c r="D70" t="s">
        <v>684</v>
      </c>
    </row>
    <row r="71" spans="1:4" x14ac:dyDescent="0.25">
      <c r="A71" t="s">
        <v>271</v>
      </c>
      <c r="B71" s="10">
        <v>43638</v>
      </c>
      <c r="C71" s="16">
        <v>1461221.2</v>
      </c>
      <c r="D71" t="s">
        <v>690</v>
      </c>
    </row>
    <row r="72" spans="1:4" x14ac:dyDescent="0.25">
      <c r="A72" t="s">
        <v>274</v>
      </c>
      <c r="B72" s="10">
        <v>43591</v>
      </c>
      <c r="C72" s="16">
        <v>684195.57</v>
      </c>
      <c r="D72" t="s">
        <v>686</v>
      </c>
    </row>
    <row r="73" spans="1:4" x14ac:dyDescent="0.25">
      <c r="A73" t="s">
        <v>277</v>
      </c>
      <c r="B73" s="10">
        <v>44667</v>
      </c>
      <c r="C73" s="16">
        <v>479788.22</v>
      </c>
      <c r="D73" t="s">
        <v>686</v>
      </c>
    </row>
    <row r="74" spans="1:4" x14ac:dyDescent="0.25">
      <c r="A74" t="s">
        <v>281</v>
      </c>
      <c r="B74" s="10">
        <v>44299</v>
      </c>
      <c r="C74" s="16">
        <v>934800.46</v>
      </c>
      <c r="D74" t="s">
        <v>684</v>
      </c>
    </row>
    <row r="75" spans="1:4" x14ac:dyDescent="0.25">
      <c r="A75" t="s">
        <v>284</v>
      </c>
      <c r="B75" s="10">
        <v>44402</v>
      </c>
      <c r="C75" s="16">
        <v>1107539.26</v>
      </c>
      <c r="D75" t="s">
        <v>690</v>
      </c>
    </row>
    <row r="76" spans="1:4" x14ac:dyDescent="0.25">
      <c r="A76" t="s">
        <v>287</v>
      </c>
      <c r="B76" s="10">
        <v>43928</v>
      </c>
      <c r="C76" s="16">
        <v>718000</v>
      </c>
      <c r="D76" t="s">
        <v>684</v>
      </c>
    </row>
    <row r="77" spans="1:4" x14ac:dyDescent="0.25">
      <c r="A77" t="s">
        <v>290</v>
      </c>
      <c r="B77" s="10">
        <v>43960</v>
      </c>
      <c r="C77" s="16">
        <v>159893.42000000001</v>
      </c>
      <c r="D77" t="s">
        <v>688</v>
      </c>
    </row>
    <row r="78" spans="1:4" x14ac:dyDescent="0.25">
      <c r="A78" t="s">
        <v>293</v>
      </c>
      <c r="B78" s="10">
        <v>45012</v>
      </c>
      <c r="C78" s="16">
        <v>1158196.58</v>
      </c>
      <c r="D78" t="s">
        <v>690</v>
      </c>
    </row>
    <row r="79" spans="1:4" x14ac:dyDescent="0.25">
      <c r="A79" t="s">
        <v>296</v>
      </c>
      <c r="B79" s="10">
        <v>44806</v>
      </c>
      <c r="C79" s="16">
        <v>1065867.54</v>
      </c>
      <c r="D79" t="s">
        <v>690</v>
      </c>
    </row>
    <row r="80" spans="1:4" x14ac:dyDescent="0.25">
      <c r="A80" t="s">
        <v>300</v>
      </c>
      <c r="B80" s="10">
        <v>43531</v>
      </c>
      <c r="C80" s="16">
        <v>821058.13</v>
      </c>
      <c r="D80" t="s">
        <v>684</v>
      </c>
    </row>
    <row r="81" spans="1:4" x14ac:dyDescent="0.25">
      <c r="A81" t="s">
        <v>304</v>
      </c>
      <c r="B81" s="10">
        <v>43995</v>
      </c>
      <c r="C81" s="16">
        <v>938504.62</v>
      </c>
      <c r="D81" t="s">
        <v>684</v>
      </c>
    </row>
    <row r="82" spans="1:4" x14ac:dyDescent="0.25">
      <c r="A82" t="s">
        <v>304</v>
      </c>
      <c r="B82" s="10">
        <v>45279</v>
      </c>
      <c r="C82" s="16">
        <v>264131.53999999998</v>
      </c>
      <c r="D82" t="s">
        <v>688</v>
      </c>
    </row>
    <row r="83" spans="1:4" x14ac:dyDescent="0.25">
      <c r="A83" t="s">
        <v>311</v>
      </c>
      <c r="B83" s="10">
        <v>44228</v>
      </c>
      <c r="C83" s="16">
        <v>137072.72</v>
      </c>
      <c r="D83" t="s">
        <v>688</v>
      </c>
    </row>
    <row r="84" spans="1:4" x14ac:dyDescent="0.25">
      <c r="A84" t="s">
        <v>315</v>
      </c>
      <c r="B84" s="10">
        <v>44398</v>
      </c>
      <c r="C84" s="16">
        <v>437271.07</v>
      </c>
      <c r="D84" t="s">
        <v>686</v>
      </c>
    </row>
    <row r="85" spans="1:4" x14ac:dyDescent="0.25">
      <c r="A85" t="s">
        <v>317</v>
      </c>
      <c r="B85" s="10">
        <v>44010</v>
      </c>
      <c r="C85" s="16">
        <v>884231.78</v>
      </c>
      <c r="D85" t="s">
        <v>684</v>
      </c>
    </row>
    <row r="86" spans="1:4" x14ac:dyDescent="0.25">
      <c r="A86" t="s">
        <v>321</v>
      </c>
      <c r="B86" s="10">
        <v>44742</v>
      </c>
      <c r="C86" s="16">
        <v>945722.23</v>
      </c>
      <c r="D86" t="s">
        <v>684</v>
      </c>
    </row>
    <row r="87" spans="1:4" x14ac:dyDescent="0.25">
      <c r="A87" t="s">
        <v>324</v>
      </c>
      <c r="B87" s="10">
        <v>44506</v>
      </c>
      <c r="C87" s="16">
        <v>1260548.3600000001</v>
      </c>
      <c r="D87" t="s">
        <v>690</v>
      </c>
    </row>
    <row r="88" spans="1:4" x14ac:dyDescent="0.25">
      <c r="A88" t="s">
        <v>327</v>
      </c>
      <c r="B88" s="10">
        <v>43823</v>
      </c>
      <c r="C88" s="16">
        <v>256774.06</v>
      </c>
      <c r="D88" t="s">
        <v>688</v>
      </c>
    </row>
    <row r="89" spans="1:4" x14ac:dyDescent="0.25">
      <c r="A89" t="s">
        <v>331</v>
      </c>
      <c r="B89" s="10">
        <v>44925</v>
      </c>
      <c r="C89" s="16">
        <v>625290.79</v>
      </c>
      <c r="D89" t="s">
        <v>686</v>
      </c>
    </row>
    <row r="90" spans="1:4" x14ac:dyDescent="0.25">
      <c r="A90" t="s">
        <v>335</v>
      </c>
      <c r="B90" s="10">
        <v>44204</v>
      </c>
      <c r="C90" s="16">
        <v>127975.76</v>
      </c>
      <c r="D90" t="s">
        <v>688</v>
      </c>
    </row>
    <row r="91" spans="1:4" x14ac:dyDescent="0.25">
      <c r="A91" t="s">
        <v>339</v>
      </c>
      <c r="B91" s="10">
        <v>44528</v>
      </c>
      <c r="C91" s="16">
        <v>718000</v>
      </c>
      <c r="D91" t="s">
        <v>684</v>
      </c>
    </row>
    <row r="92" spans="1:4" x14ac:dyDescent="0.25">
      <c r="A92" t="s">
        <v>343</v>
      </c>
      <c r="B92" s="10">
        <v>43580</v>
      </c>
      <c r="C92" s="16">
        <v>1171379.08</v>
      </c>
      <c r="D92" t="s">
        <v>690</v>
      </c>
    </row>
    <row r="93" spans="1:4" x14ac:dyDescent="0.25">
      <c r="A93" t="s">
        <v>345</v>
      </c>
      <c r="B93" s="10">
        <v>45033</v>
      </c>
      <c r="C93" s="16">
        <v>335064.96999999997</v>
      </c>
      <c r="D93" t="s">
        <v>686</v>
      </c>
    </row>
    <row r="94" spans="1:4" x14ac:dyDescent="0.25">
      <c r="A94" t="s">
        <v>348</v>
      </c>
      <c r="B94" s="10">
        <v>44039</v>
      </c>
      <c r="C94" s="16">
        <v>699445.76000000001</v>
      </c>
      <c r="D94" t="s">
        <v>686</v>
      </c>
    </row>
    <row r="95" spans="1:4" x14ac:dyDescent="0.25">
      <c r="A95" t="s">
        <v>350</v>
      </c>
      <c r="B95" s="10">
        <v>44438</v>
      </c>
      <c r="C95" s="16">
        <v>88861.14</v>
      </c>
      <c r="D95" t="s">
        <v>688</v>
      </c>
    </row>
    <row r="96" spans="1:4" x14ac:dyDescent="0.25">
      <c r="A96" t="s">
        <v>353</v>
      </c>
      <c r="B96" s="10">
        <v>43592</v>
      </c>
      <c r="C96" s="16">
        <v>614800.73</v>
      </c>
      <c r="D96" t="s">
        <v>686</v>
      </c>
    </row>
    <row r="97" spans="1:4" x14ac:dyDescent="0.25">
      <c r="A97" t="s">
        <v>356</v>
      </c>
      <c r="B97" s="10">
        <v>44848</v>
      </c>
      <c r="C97" s="16">
        <v>815266.47</v>
      </c>
      <c r="D97" t="s">
        <v>684</v>
      </c>
    </row>
    <row r="98" spans="1:4" x14ac:dyDescent="0.25">
      <c r="A98" t="s">
        <v>360</v>
      </c>
      <c r="B98" s="10">
        <v>44713</v>
      </c>
      <c r="C98" s="16">
        <v>1120160.3700000001</v>
      </c>
      <c r="D98" t="s">
        <v>690</v>
      </c>
    </row>
    <row r="99" spans="1:4" x14ac:dyDescent="0.25">
      <c r="A99" t="s">
        <v>363</v>
      </c>
      <c r="B99" s="10">
        <v>43706</v>
      </c>
      <c r="C99" s="16">
        <v>715390.14</v>
      </c>
      <c r="D99" t="s">
        <v>684</v>
      </c>
    </row>
    <row r="100" spans="1:4" x14ac:dyDescent="0.25">
      <c r="A100" t="s">
        <v>366</v>
      </c>
      <c r="B100" s="10">
        <v>44198</v>
      </c>
      <c r="C100" s="16">
        <v>1324827.71</v>
      </c>
      <c r="D100" t="s">
        <v>690</v>
      </c>
    </row>
    <row r="101" spans="1:4" x14ac:dyDescent="0.25">
      <c r="A101" t="s">
        <v>368</v>
      </c>
      <c r="B101" s="10">
        <v>44086</v>
      </c>
      <c r="C101" s="16">
        <v>313147.27</v>
      </c>
      <c r="D101" t="s">
        <v>686</v>
      </c>
    </row>
    <row r="102" spans="1:4" x14ac:dyDescent="0.25">
      <c r="A102" t="s">
        <v>370</v>
      </c>
      <c r="B102" s="10">
        <v>43535</v>
      </c>
      <c r="C102" s="16">
        <v>1478109.88</v>
      </c>
      <c r="D102" t="s">
        <v>690</v>
      </c>
    </row>
    <row r="103" spans="1:4" x14ac:dyDescent="0.25">
      <c r="A103" t="s">
        <v>373</v>
      </c>
      <c r="B103" s="10">
        <v>44872</v>
      </c>
      <c r="C103" s="16">
        <v>658865.21</v>
      </c>
      <c r="D103" t="s">
        <v>686</v>
      </c>
    </row>
    <row r="104" spans="1:4" x14ac:dyDescent="0.25">
      <c r="A104" t="s">
        <v>376</v>
      </c>
      <c r="B104" s="10">
        <v>44519</v>
      </c>
      <c r="C104" s="16">
        <v>1141429.95</v>
      </c>
      <c r="D104" t="s">
        <v>690</v>
      </c>
    </row>
    <row r="105" spans="1:4" x14ac:dyDescent="0.25">
      <c r="A105" t="s">
        <v>379</v>
      </c>
      <c r="B105" s="10">
        <v>44073</v>
      </c>
      <c r="C105" s="16">
        <v>1384406.56</v>
      </c>
      <c r="D105" t="s">
        <v>690</v>
      </c>
    </row>
    <row r="106" spans="1:4" x14ac:dyDescent="0.25">
      <c r="A106" t="s">
        <v>381</v>
      </c>
      <c r="B106" s="10">
        <v>45144</v>
      </c>
      <c r="C106" s="16">
        <v>718000</v>
      </c>
      <c r="D106" t="s">
        <v>684</v>
      </c>
    </row>
    <row r="107" spans="1:4" x14ac:dyDescent="0.25">
      <c r="A107" t="s">
        <v>385</v>
      </c>
      <c r="B107" s="10">
        <v>44520</v>
      </c>
      <c r="C107" s="16">
        <v>1102343.92</v>
      </c>
      <c r="D107" t="s">
        <v>690</v>
      </c>
    </row>
    <row r="108" spans="1:4" x14ac:dyDescent="0.25">
      <c r="A108" t="s">
        <v>388</v>
      </c>
      <c r="B108" s="10">
        <v>43667</v>
      </c>
      <c r="C108" s="16">
        <v>102458.35</v>
      </c>
      <c r="D108" t="s">
        <v>688</v>
      </c>
    </row>
    <row r="109" spans="1:4" x14ac:dyDescent="0.25">
      <c r="A109" t="s">
        <v>391</v>
      </c>
      <c r="B109" s="10">
        <v>43670</v>
      </c>
      <c r="C109" s="16">
        <v>669019.16</v>
      </c>
      <c r="D109" t="s">
        <v>686</v>
      </c>
    </row>
    <row r="110" spans="1:4" x14ac:dyDescent="0.25">
      <c r="A110" t="s">
        <v>394</v>
      </c>
      <c r="B110" s="10">
        <v>43766</v>
      </c>
      <c r="C110" s="16">
        <v>683380.83</v>
      </c>
      <c r="D110" t="s">
        <v>686</v>
      </c>
    </row>
    <row r="111" spans="1:4" x14ac:dyDescent="0.25">
      <c r="A111" t="s">
        <v>397</v>
      </c>
      <c r="B111" s="10">
        <v>43894</v>
      </c>
      <c r="C111" s="16">
        <v>511219.06</v>
      </c>
      <c r="D111" t="s">
        <v>686</v>
      </c>
    </row>
    <row r="112" spans="1:4" x14ac:dyDescent="0.25">
      <c r="A112" t="s">
        <v>400</v>
      </c>
      <c r="B112" s="10">
        <v>44910</v>
      </c>
      <c r="C112" s="16">
        <v>180455.22</v>
      </c>
      <c r="D112" t="s">
        <v>688</v>
      </c>
    </row>
    <row r="113" spans="1:4" x14ac:dyDescent="0.25">
      <c r="A113" t="s">
        <v>403</v>
      </c>
      <c r="B113" s="10">
        <v>44584</v>
      </c>
      <c r="C113" s="16">
        <v>508722.54</v>
      </c>
      <c r="D113" t="s">
        <v>686</v>
      </c>
    </row>
    <row r="114" spans="1:4" x14ac:dyDescent="0.25">
      <c r="A114" t="s">
        <v>407</v>
      </c>
      <c r="B114" s="10">
        <v>44383</v>
      </c>
      <c r="C114" s="16">
        <v>748518.89</v>
      </c>
      <c r="D114" t="s">
        <v>684</v>
      </c>
    </row>
    <row r="115" spans="1:4" x14ac:dyDescent="0.25">
      <c r="A115" t="s">
        <v>409</v>
      </c>
      <c r="B115" s="10">
        <v>43924</v>
      </c>
      <c r="C115" s="16">
        <v>147643.21</v>
      </c>
      <c r="D115" t="s">
        <v>688</v>
      </c>
    </row>
    <row r="116" spans="1:4" x14ac:dyDescent="0.25">
      <c r="A116" t="s">
        <v>412</v>
      </c>
      <c r="B116" s="10">
        <v>44245</v>
      </c>
      <c r="C116" s="16">
        <v>1089464.78</v>
      </c>
      <c r="D116" t="s">
        <v>690</v>
      </c>
    </row>
    <row r="117" spans="1:4" x14ac:dyDescent="0.25">
      <c r="A117" t="s">
        <v>413</v>
      </c>
      <c r="B117" s="10">
        <v>44548</v>
      </c>
      <c r="C117" s="16">
        <v>305797.42</v>
      </c>
      <c r="D117" t="s">
        <v>686</v>
      </c>
    </row>
    <row r="118" spans="1:4" x14ac:dyDescent="0.25">
      <c r="A118" t="s">
        <v>417</v>
      </c>
      <c r="B118" s="10">
        <v>45283</v>
      </c>
      <c r="C118" s="16">
        <v>971437.13</v>
      </c>
      <c r="D118" t="s">
        <v>684</v>
      </c>
    </row>
    <row r="119" spans="1:4" x14ac:dyDescent="0.25">
      <c r="A119" t="s">
        <v>420</v>
      </c>
      <c r="B119" s="10">
        <v>43803</v>
      </c>
      <c r="C119" s="16">
        <v>450594.2</v>
      </c>
      <c r="D119" t="s">
        <v>686</v>
      </c>
    </row>
    <row r="120" spans="1:4" x14ac:dyDescent="0.25">
      <c r="A120" t="s">
        <v>422</v>
      </c>
      <c r="B120" s="10">
        <v>45238</v>
      </c>
      <c r="C120" s="16">
        <v>1147909.82</v>
      </c>
      <c r="D120" t="s">
        <v>690</v>
      </c>
    </row>
    <row r="121" spans="1:4" x14ac:dyDescent="0.25">
      <c r="A121" t="s">
        <v>425</v>
      </c>
      <c r="B121" s="10">
        <v>43715</v>
      </c>
      <c r="C121" s="16">
        <v>718000</v>
      </c>
      <c r="D121" t="s">
        <v>684</v>
      </c>
    </row>
    <row r="122" spans="1:4" x14ac:dyDescent="0.25">
      <c r="A122" t="s">
        <v>428</v>
      </c>
      <c r="B122" s="10">
        <v>45114</v>
      </c>
      <c r="C122" s="16">
        <v>500050.03</v>
      </c>
      <c r="D122" t="s">
        <v>686</v>
      </c>
    </row>
    <row r="123" spans="1:4" x14ac:dyDescent="0.25">
      <c r="A123" t="s">
        <v>432</v>
      </c>
      <c r="B123" s="10">
        <v>45119</v>
      </c>
      <c r="C123" s="16">
        <v>849670.85</v>
      </c>
      <c r="D123" t="s">
        <v>684</v>
      </c>
    </row>
    <row r="124" spans="1:4" x14ac:dyDescent="0.25">
      <c r="A124" t="s">
        <v>435</v>
      </c>
      <c r="B124" s="10">
        <v>43889</v>
      </c>
      <c r="C124" s="16">
        <v>576152.94999999995</v>
      </c>
      <c r="D124" t="s">
        <v>686</v>
      </c>
    </row>
    <row r="125" spans="1:4" x14ac:dyDescent="0.25">
      <c r="A125" t="s">
        <v>438</v>
      </c>
      <c r="B125" s="10">
        <v>44208</v>
      </c>
      <c r="C125" s="16">
        <v>623926.34</v>
      </c>
      <c r="D125" t="s">
        <v>686</v>
      </c>
    </row>
    <row r="126" spans="1:4" x14ac:dyDescent="0.25">
      <c r="A126" t="s">
        <v>441</v>
      </c>
      <c r="B126" s="10">
        <v>44580</v>
      </c>
      <c r="C126" s="16">
        <v>112541.25</v>
      </c>
      <c r="D126" t="s">
        <v>688</v>
      </c>
    </row>
    <row r="127" spans="1:4" x14ac:dyDescent="0.25">
      <c r="A127" t="s">
        <v>445</v>
      </c>
      <c r="B127" s="10">
        <v>44424</v>
      </c>
      <c r="C127" s="16">
        <v>1068878.45</v>
      </c>
      <c r="D127" t="s">
        <v>690</v>
      </c>
    </row>
    <row r="128" spans="1:4" x14ac:dyDescent="0.25">
      <c r="A128" t="s">
        <v>448</v>
      </c>
      <c r="B128" s="10">
        <v>44607</v>
      </c>
      <c r="C128" s="16">
        <v>138981.25</v>
      </c>
      <c r="D128" t="s">
        <v>688</v>
      </c>
    </row>
    <row r="129" spans="1:4" x14ac:dyDescent="0.25">
      <c r="A129" t="s">
        <v>451</v>
      </c>
      <c r="B129" s="10">
        <v>45037</v>
      </c>
      <c r="C129" s="16">
        <v>1063692.72</v>
      </c>
      <c r="D129" t="s">
        <v>690</v>
      </c>
    </row>
    <row r="130" spans="1:4" x14ac:dyDescent="0.25">
      <c r="A130" t="s">
        <v>455</v>
      </c>
      <c r="B130" s="10">
        <v>44279</v>
      </c>
      <c r="C130" s="16">
        <v>323872.17</v>
      </c>
      <c r="D130" t="s">
        <v>686</v>
      </c>
    </row>
    <row r="131" spans="1:4" x14ac:dyDescent="0.25">
      <c r="A131" t="s">
        <v>458</v>
      </c>
      <c r="B131" s="10">
        <v>45234</v>
      </c>
      <c r="C131" s="16">
        <v>974430.24</v>
      </c>
      <c r="D131" t="s">
        <v>684</v>
      </c>
    </row>
    <row r="132" spans="1:4" x14ac:dyDescent="0.25">
      <c r="A132" t="s">
        <v>460</v>
      </c>
      <c r="B132" s="10">
        <v>44097</v>
      </c>
      <c r="C132" s="16">
        <v>993283.69</v>
      </c>
      <c r="D132" t="s">
        <v>684</v>
      </c>
    </row>
    <row r="133" spans="1:4" x14ac:dyDescent="0.25">
      <c r="A133" t="s">
        <v>464</v>
      </c>
      <c r="B133" s="10">
        <v>43865</v>
      </c>
      <c r="C133" s="16">
        <v>1241221.9099999999</v>
      </c>
      <c r="D133" t="s">
        <v>690</v>
      </c>
    </row>
    <row r="134" spans="1:4" x14ac:dyDescent="0.25">
      <c r="A134" t="s">
        <v>467</v>
      </c>
      <c r="B134" s="10">
        <v>45196</v>
      </c>
      <c r="C134" s="16">
        <v>1097873.9099999999</v>
      </c>
      <c r="D134" t="s">
        <v>690</v>
      </c>
    </row>
    <row r="135" spans="1:4" x14ac:dyDescent="0.25">
      <c r="A135" t="s">
        <v>470</v>
      </c>
      <c r="B135" s="10">
        <v>45193</v>
      </c>
      <c r="C135" s="16">
        <v>1362441.15</v>
      </c>
      <c r="D135" t="s">
        <v>690</v>
      </c>
    </row>
    <row r="136" spans="1:4" x14ac:dyDescent="0.25">
      <c r="A136" t="s">
        <v>473</v>
      </c>
      <c r="B136" s="10">
        <v>44005</v>
      </c>
      <c r="C136" s="16">
        <v>718000</v>
      </c>
      <c r="D136" t="s">
        <v>684</v>
      </c>
    </row>
    <row r="137" spans="1:4" x14ac:dyDescent="0.25">
      <c r="A137" t="s">
        <v>476</v>
      </c>
      <c r="B137" s="10">
        <v>44239</v>
      </c>
      <c r="C137" s="16">
        <v>1485590.34</v>
      </c>
      <c r="D137" t="s">
        <v>690</v>
      </c>
    </row>
    <row r="138" spans="1:4" x14ac:dyDescent="0.25">
      <c r="A138" t="s">
        <v>480</v>
      </c>
      <c r="B138" s="10">
        <v>45096</v>
      </c>
      <c r="C138" s="16">
        <v>504353.71</v>
      </c>
      <c r="D138" t="s">
        <v>686</v>
      </c>
    </row>
    <row r="139" spans="1:4" x14ac:dyDescent="0.25">
      <c r="A139" t="s">
        <v>483</v>
      </c>
      <c r="B139" s="10">
        <v>43482</v>
      </c>
      <c r="C139" s="16">
        <v>1452983.94</v>
      </c>
      <c r="D139" t="s">
        <v>690</v>
      </c>
    </row>
    <row r="140" spans="1:4" x14ac:dyDescent="0.25">
      <c r="A140" t="s">
        <v>486</v>
      </c>
      <c r="B140" s="10">
        <v>44891</v>
      </c>
      <c r="C140" s="16">
        <v>123522.03</v>
      </c>
      <c r="D140" t="s">
        <v>688</v>
      </c>
    </row>
    <row r="141" spans="1:4" x14ac:dyDescent="0.25">
      <c r="A141" t="s">
        <v>489</v>
      </c>
      <c r="B141" s="10">
        <v>44726</v>
      </c>
      <c r="C141" s="16">
        <v>423911.69</v>
      </c>
      <c r="D141" t="s">
        <v>686</v>
      </c>
    </row>
    <row r="142" spans="1:4" x14ac:dyDescent="0.25">
      <c r="A142" t="s">
        <v>492</v>
      </c>
      <c r="B142" s="10">
        <v>44784</v>
      </c>
      <c r="C142" s="16">
        <v>781828.26</v>
      </c>
      <c r="D142" t="s">
        <v>684</v>
      </c>
    </row>
    <row r="143" spans="1:4" x14ac:dyDescent="0.25">
      <c r="A143" t="s">
        <v>495</v>
      </c>
      <c r="B143" s="10">
        <v>45125</v>
      </c>
      <c r="C143" s="16">
        <v>1123529.24</v>
      </c>
      <c r="D143" t="s">
        <v>690</v>
      </c>
    </row>
    <row r="144" spans="1:4" x14ac:dyDescent="0.25">
      <c r="A144" t="s">
        <v>498</v>
      </c>
      <c r="B144" s="10">
        <v>43760</v>
      </c>
      <c r="C144" s="16">
        <v>450648.41</v>
      </c>
      <c r="D144" t="s">
        <v>686</v>
      </c>
    </row>
    <row r="145" spans="1:4" x14ac:dyDescent="0.25">
      <c r="A145" t="s">
        <v>502</v>
      </c>
      <c r="B145" s="10">
        <v>44448</v>
      </c>
      <c r="C145" s="16">
        <v>928573.89</v>
      </c>
      <c r="D145" t="s">
        <v>684</v>
      </c>
    </row>
    <row r="146" spans="1:4" x14ac:dyDescent="0.25">
      <c r="A146" t="s">
        <v>504</v>
      </c>
      <c r="B146" s="10">
        <v>44354</v>
      </c>
      <c r="C146" s="16">
        <v>1216804.48</v>
      </c>
      <c r="D146" t="s">
        <v>690</v>
      </c>
    </row>
    <row r="147" spans="1:4" x14ac:dyDescent="0.25">
      <c r="A147" t="s">
        <v>506</v>
      </c>
      <c r="B147" s="10">
        <v>44707</v>
      </c>
      <c r="C147" s="16">
        <v>640154.14</v>
      </c>
      <c r="D147" t="s">
        <v>686</v>
      </c>
    </row>
    <row r="148" spans="1:4" x14ac:dyDescent="0.25">
      <c r="A148" t="s">
        <v>509</v>
      </c>
      <c r="B148" s="10">
        <v>43830</v>
      </c>
      <c r="C148" s="16">
        <v>654773.93999999994</v>
      </c>
      <c r="D148" t="s">
        <v>686</v>
      </c>
    </row>
    <row r="149" spans="1:4" x14ac:dyDescent="0.25">
      <c r="A149" t="s">
        <v>512</v>
      </c>
      <c r="B149" s="10">
        <v>43617</v>
      </c>
      <c r="C149" s="16">
        <v>1059781.6200000001</v>
      </c>
      <c r="D149" t="s">
        <v>690</v>
      </c>
    </row>
    <row r="150" spans="1:4" x14ac:dyDescent="0.25">
      <c r="A150" t="s">
        <v>515</v>
      </c>
      <c r="B150" s="10">
        <v>44344</v>
      </c>
      <c r="C150" s="16">
        <v>1127809.1200000001</v>
      </c>
      <c r="D150" t="s">
        <v>690</v>
      </c>
    </row>
    <row r="151" spans="1:4" x14ac:dyDescent="0.25">
      <c r="A151" t="s">
        <v>519</v>
      </c>
      <c r="B151" s="10">
        <v>43820</v>
      </c>
      <c r="C151" s="16">
        <v>718000</v>
      </c>
      <c r="D151" t="s">
        <v>684</v>
      </c>
    </row>
    <row r="152" spans="1:4" x14ac:dyDescent="0.25">
      <c r="A152" t="s">
        <v>523</v>
      </c>
      <c r="B152" s="10">
        <v>44730</v>
      </c>
      <c r="C152" s="16">
        <v>371289.33</v>
      </c>
      <c r="D152" t="s">
        <v>686</v>
      </c>
    </row>
    <row r="153" spans="1:4" x14ac:dyDescent="0.25">
      <c r="A153" t="s">
        <v>526</v>
      </c>
      <c r="B153" s="10">
        <v>43661</v>
      </c>
      <c r="C153" s="16">
        <v>189171.13</v>
      </c>
      <c r="D153" t="s">
        <v>688</v>
      </c>
    </row>
    <row r="154" spans="1:4" x14ac:dyDescent="0.25">
      <c r="A154" t="s">
        <v>528</v>
      </c>
      <c r="B154" s="10">
        <v>44420</v>
      </c>
      <c r="C154" s="16">
        <v>1312384.42</v>
      </c>
      <c r="D154" t="s">
        <v>690</v>
      </c>
    </row>
    <row r="155" spans="1:4" x14ac:dyDescent="0.25">
      <c r="A155" t="s">
        <v>531</v>
      </c>
      <c r="B155" s="10">
        <v>44962</v>
      </c>
      <c r="C155" s="16">
        <v>973406.86</v>
      </c>
      <c r="D155" t="s">
        <v>684</v>
      </c>
    </row>
    <row r="156" spans="1:4" x14ac:dyDescent="0.25">
      <c r="A156" t="s">
        <v>534</v>
      </c>
      <c r="B156" s="10">
        <v>43706</v>
      </c>
      <c r="C156" s="16">
        <v>713875.06</v>
      </c>
      <c r="D156" t="s">
        <v>684</v>
      </c>
    </row>
    <row r="157" spans="1:4" x14ac:dyDescent="0.25">
      <c r="A157" t="s">
        <v>535</v>
      </c>
      <c r="B157" s="10">
        <v>43481</v>
      </c>
      <c r="C157" s="16">
        <v>982073.85</v>
      </c>
      <c r="D157" t="s">
        <v>684</v>
      </c>
    </row>
    <row r="158" spans="1:4" x14ac:dyDescent="0.25">
      <c r="A158" t="s">
        <v>538</v>
      </c>
      <c r="B158" s="10">
        <v>44964</v>
      </c>
      <c r="C158" s="16">
        <v>1078016.46</v>
      </c>
      <c r="D158" t="s">
        <v>690</v>
      </c>
    </row>
    <row r="159" spans="1:4" x14ac:dyDescent="0.25">
      <c r="A159" t="s">
        <v>541</v>
      </c>
      <c r="B159" s="10">
        <v>43774</v>
      </c>
      <c r="C159" s="16">
        <v>258984.62</v>
      </c>
      <c r="D159" t="s">
        <v>688</v>
      </c>
    </row>
    <row r="160" spans="1:4" x14ac:dyDescent="0.25">
      <c r="A160" t="s">
        <v>545</v>
      </c>
      <c r="B160" s="10">
        <v>43536</v>
      </c>
      <c r="C160" s="16">
        <v>396220.18</v>
      </c>
      <c r="D160" t="s">
        <v>686</v>
      </c>
    </row>
    <row r="161" spans="1:4" x14ac:dyDescent="0.25">
      <c r="A161" t="s">
        <v>548</v>
      </c>
      <c r="B161" s="10">
        <v>44495</v>
      </c>
      <c r="C161" s="16">
        <v>582581.05000000005</v>
      </c>
      <c r="D161" t="s">
        <v>686</v>
      </c>
    </row>
    <row r="162" spans="1:4" x14ac:dyDescent="0.25">
      <c r="A162" t="s">
        <v>550</v>
      </c>
      <c r="B162" s="10">
        <v>44924</v>
      </c>
      <c r="C162" s="16">
        <v>1466425.4</v>
      </c>
      <c r="D162" t="s">
        <v>690</v>
      </c>
    </row>
    <row r="163" spans="1:4" x14ac:dyDescent="0.25">
      <c r="A163" t="s">
        <v>553</v>
      </c>
      <c r="B163" s="10">
        <v>44697</v>
      </c>
      <c r="C163" s="16">
        <v>1486684.54</v>
      </c>
      <c r="D163" t="s">
        <v>690</v>
      </c>
    </row>
    <row r="164" spans="1:4" x14ac:dyDescent="0.25">
      <c r="A164" t="s">
        <v>557</v>
      </c>
      <c r="B164" s="10">
        <v>44454</v>
      </c>
      <c r="C164" s="16">
        <v>273368.23</v>
      </c>
      <c r="D164" t="s">
        <v>688</v>
      </c>
    </row>
    <row r="165" spans="1:4" x14ac:dyDescent="0.25">
      <c r="A165" t="s">
        <v>561</v>
      </c>
      <c r="B165" s="10">
        <v>44730</v>
      </c>
      <c r="C165" s="16">
        <v>1303098.73</v>
      </c>
      <c r="D165" t="s">
        <v>690</v>
      </c>
    </row>
    <row r="166" spans="1:4" x14ac:dyDescent="0.25">
      <c r="A166" t="s">
        <v>562</v>
      </c>
      <c r="B166" s="10">
        <v>43544</v>
      </c>
      <c r="C166" s="16">
        <v>718000</v>
      </c>
      <c r="D166" t="s">
        <v>684</v>
      </c>
    </row>
    <row r="167" spans="1:4" x14ac:dyDescent="0.25">
      <c r="A167" t="s">
        <v>565</v>
      </c>
      <c r="B167" s="10">
        <v>44241</v>
      </c>
      <c r="C167" s="16">
        <v>542393.42000000004</v>
      </c>
      <c r="D167" t="s">
        <v>686</v>
      </c>
    </row>
    <row r="168" spans="1:4" x14ac:dyDescent="0.25">
      <c r="A168" t="s">
        <v>567</v>
      </c>
      <c r="B168" s="10">
        <v>43661</v>
      </c>
      <c r="C168" s="16">
        <v>275787.01</v>
      </c>
      <c r="D168" t="s">
        <v>688</v>
      </c>
    </row>
    <row r="169" spans="1:4" x14ac:dyDescent="0.25">
      <c r="A169" t="s">
        <v>569</v>
      </c>
      <c r="B169" s="10">
        <v>43873</v>
      </c>
      <c r="C169" s="16">
        <v>902726.8</v>
      </c>
      <c r="D169" t="s">
        <v>684</v>
      </c>
    </row>
    <row r="170" spans="1:4" x14ac:dyDescent="0.25">
      <c r="A170" t="s">
        <v>572</v>
      </c>
      <c r="B170" s="10">
        <v>44292</v>
      </c>
      <c r="C170" s="16">
        <v>260654.47</v>
      </c>
      <c r="D170" t="s">
        <v>688</v>
      </c>
    </row>
    <row r="171" spans="1:4" x14ac:dyDescent="0.25">
      <c r="A171" t="s">
        <v>574</v>
      </c>
      <c r="B171" s="10">
        <v>44767</v>
      </c>
      <c r="C171" s="16">
        <v>386801.86</v>
      </c>
      <c r="D171" t="s">
        <v>686</v>
      </c>
    </row>
    <row r="172" spans="1:4" x14ac:dyDescent="0.25">
      <c r="A172" t="s">
        <v>577</v>
      </c>
      <c r="B172" s="10">
        <v>44418</v>
      </c>
      <c r="C172" s="16">
        <v>640396.64</v>
      </c>
      <c r="D172" t="s">
        <v>686</v>
      </c>
    </row>
    <row r="173" spans="1:4" x14ac:dyDescent="0.25">
      <c r="A173" t="s">
        <v>580</v>
      </c>
      <c r="B173" s="10">
        <v>44763</v>
      </c>
      <c r="C173" s="16">
        <v>250118.1</v>
      </c>
      <c r="D173" t="s">
        <v>688</v>
      </c>
    </row>
    <row r="174" spans="1:4" x14ac:dyDescent="0.25">
      <c r="A174" t="s">
        <v>583</v>
      </c>
      <c r="B174" s="10">
        <v>43865</v>
      </c>
      <c r="C174" s="16">
        <v>552212.23</v>
      </c>
      <c r="D174" t="s">
        <v>686</v>
      </c>
    </row>
    <row r="175" spans="1:4" x14ac:dyDescent="0.25">
      <c r="A175" t="s">
        <v>586</v>
      </c>
      <c r="B175" s="10">
        <v>44019</v>
      </c>
      <c r="C175" s="16">
        <v>343169.82</v>
      </c>
      <c r="D175" t="s">
        <v>686</v>
      </c>
    </row>
    <row r="176" spans="1:4" x14ac:dyDescent="0.25">
      <c r="A176" t="s">
        <v>589</v>
      </c>
      <c r="B176" s="10">
        <v>44077</v>
      </c>
      <c r="C176" s="16">
        <v>883763.22</v>
      </c>
      <c r="D176" t="s">
        <v>684</v>
      </c>
    </row>
    <row r="177" spans="1:4" x14ac:dyDescent="0.25">
      <c r="A177" t="s">
        <v>593</v>
      </c>
      <c r="B177" s="10">
        <v>44234</v>
      </c>
      <c r="C177" s="16">
        <v>663784.18999999994</v>
      </c>
      <c r="D177" t="s">
        <v>686</v>
      </c>
    </row>
    <row r="178" spans="1:4" x14ac:dyDescent="0.25">
      <c r="A178" t="s">
        <v>596</v>
      </c>
      <c r="B178" s="10">
        <v>45257</v>
      </c>
      <c r="C178" s="16">
        <v>127669.58</v>
      </c>
      <c r="D178" t="s">
        <v>688</v>
      </c>
    </row>
    <row r="179" spans="1:4" x14ac:dyDescent="0.25">
      <c r="A179" t="s">
        <v>599</v>
      </c>
      <c r="B179" s="10">
        <v>44659</v>
      </c>
      <c r="C179" s="16">
        <v>294510.8</v>
      </c>
      <c r="D179" t="s">
        <v>688</v>
      </c>
    </row>
    <row r="180" spans="1:4" x14ac:dyDescent="0.25">
      <c r="A180" t="s">
        <v>601</v>
      </c>
      <c r="B180" s="10">
        <v>44092</v>
      </c>
      <c r="C180" s="16">
        <v>261950.31</v>
      </c>
      <c r="D180" t="s">
        <v>688</v>
      </c>
    </row>
    <row r="181" spans="1:4" x14ac:dyDescent="0.25">
      <c r="A181" t="s">
        <v>604</v>
      </c>
      <c r="B181" s="10">
        <v>43682</v>
      </c>
      <c r="C181" s="16">
        <v>718000</v>
      </c>
      <c r="D181" t="s">
        <v>684</v>
      </c>
    </row>
    <row r="182" spans="1:4" x14ac:dyDescent="0.25">
      <c r="A182" t="s">
        <v>607</v>
      </c>
      <c r="B182" s="10">
        <v>44105</v>
      </c>
      <c r="C182" s="16">
        <v>788154.05</v>
      </c>
      <c r="D182" t="s">
        <v>684</v>
      </c>
    </row>
    <row r="183" spans="1:4" x14ac:dyDescent="0.25">
      <c r="A183" t="s">
        <v>611</v>
      </c>
      <c r="B183" s="10">
        <v>44058</v>
      </c>
      <c r="C183" s="16">
        <v>1008111.17</v>
      </c>
      <c r="D183" t="s">
        <v>690</v>
      </c>
    </row>
    <row r="184" spans="1:4" x14ac:dyDescent="0.25">
      <c r="A184" t="s">
        <v>614</v>
      </c>
      <c r="B184" s="10">
        <v>44623</v>
      </c>
      <c r="C184" s="16">
        <v>956987.82</v>
      </c>
      <c r="D184" t="s">
        <v>684</v>
      </c>
    </row>
    <row r="185" spans="1:4" x14ac:dyDescent="0.25">
      <c r="A185" t="s">
        <v>618</v>
      </c>
      <c r="B185" s="10">
        <v>43745</v>
      </c>
      <c r="C185" s="16">
        <v>94409.81</v>
      </c>
      <c r="D185" t="s">
        <v>688</v>
      </c>
    </row>
    <row r="186" spans="1:4" x14ac:dyDescent="0.25">
      <c r="A186" t="s">
        <v>622</v>
      </c>
      <c r="B186" s="10">
        <v>44318</v>
      </c>
      <c r="C186" s="16">
        <v>559171.5</v>
      </c>
      <c r="D186" t="s">
        <v>686</v>
      </c>
    </row>
    <row r="187" spans="1:4" x14ac:dyDescent="0.25">
      <c r="A187" t="s">
        <v>626</v>
      </c>
      <c r="B187" s="10">
        <v>44293</v>
      </c>
      <c r="C187" s="16">
        <v>432866.25</v>
      </c>
      <c r="D187" t="s">
        <v>686</v>
      </c>
    </row>
    <row r="188" spans="1:4" x14ac:dyDescent="0.25">
      <c r="A188" t="s">
        <v>628</v>
      </c>
      <c r="B188" s="10">
        <v>44431</v>
      </c>
      <c r="C188" s="16">
        <v>1203587.8999999999</v>
      </c>
      <c r="D188" t="s">
        <v>690</v>
      </c>
    </row>
    <row r="189" spans="1:4" x14ac:dyDescent="0.25">
      <c r="A189" t="s">
        <v>631</v>
      </c>
      <c r="B189" s="10">
        <v>44042</v>
      </c>
      <c r="C189" s="16">
        <v>409544.3</v>
      </c>
      <c r="D189" t="s">
        <v>686</v>
      </c>
    </row>
    <row r="190" spans="1:4" x14ac:dyDescent="0.25">
      <c r="A190" t="s">
        <v>633</v>
      </c>
      <c r="B190" s="10">
        <v>44611</v>
      </c>
      <c r="C190" s="16">
        <v>259844.34</v>
      </c>
      <c r="D190" t="s">
        <v>688</v>
      </c>
    </row>
    <row r="191" spans="1:4" x14ac:dyDescent="0.25">
      <c r="A191" t="s">
        <v>637</v>
      </c>
      <c r="B191" s="10">
        <v>43811</v>
      </c>
      <c r="C191" s="16">
        <v>284649.82</v>
      </c>
      <c r="D191" t="s">
        <v>688</v>
      </c>
    </row>
    <row r="192" spans="1:4" x14ac:dyDescent="0.25">
      <c r="A192" t="s">
        <v>639</v>
      </c>
      <c r="B192" s="10">
        <v>45187</v>
      </c>
      <c r="C192" s="16">
        <v>448798.39</v>
      </c>
      <c r="D192" t="s">
        <v>686</v>
      </c>
    </row>
    <row r="193" spans="1:4" x14ac:dyDescent="0.25">
      <c r="A193" t="s">
        <v>641</v>
      </c>
      <c r="B193" s="10">
        <v>44924</v>
      </c>
      <c r="C193" s="16">
        <v>82861.929999999993</v>
      </c>
      <c r="D193" t="s">
        <v>688</v>
      </c>
    </row>
    <row r="194" spans="1:4" x14ac:dyDescent="0.25">
      <c r="A194" t="s">
        <v>642</v>
      </c>
      <c r="B194" s="10">
        <v>44347</v>
      </c>
      <c r="C194" s="16">
        <v>934055.72</v>
      </c>
      <c r="D194" t="s">
        <v>684</v>
      </c>
    </row>
    <row r="195" spans="1:4" x14ac:dyDescent="0.25">
      <c r="A195" t="s">
        <v>644</v>
      </c>
      <c r="B195" s="10">
        <v>44984</v>
      </c>
      <c r="C195" s="16">
        <v>1402366.71</v>
      </c>
      <c r="D195" t="s">
        <v>690</v>
      </c>
    </row>
    <row r="196" spans="1:4" x14ac:dyDescent="0.25">
      <c r="A196" t="s">
        <v>646</v>
      </c>
      <c r="B196" s="10">
        <v>43671</v>
      </c>
      <c r="C196" s="16">
        <v>718000</v>
      </c>
      <c r="D196" t="s">
        <v>684</v>
      </c>
    </row>
    <row r="197" spans="1:4" x14ac:dyDescent="0.25">
      <c r="A197" t="s">
        <v>648</v>
      </c>
      <c r="B197" s="10">
        <v>44646</v>
      </c>
      <c r="C197" s="16">
        <v>1323071.4099999999</v>
      </c>
      <c r="D197" t="s">
        <v>690</v>
      </c>
    </row>
    <row r="198" spans="1:4" x14ac:dyDescent="0.25">
      <c r="A198" t="s">
        <v>651</v>
      </c>
      <c r="B198" s="10">
        <v>44212</v>
      </c>
      <c r="C198" s="16">
        <v>416310.05</v>
      </c>
      <c r="D198" t="s">
        <v>686</v>
      </c>
    </row>
    <row r="199" spans="1:4" x14ac:dyDescent="0.25">
      <c r="A199" t="s">
        <v>655</v>
      </c>
      <c r="B199" s="10">
        <v>43913</v>
      </c>
      <c r="C199" s="16">
        <v>569416.35</v>
      </c>
      <c r="D199" t="s">
        <v>686</v>
      </c>
    </row>
    <row r="200" spans="1:4" x14ac:dyDescent="0.25">
      <c r="A200" t="s">
        <v>658</v>
      </c>
      <c r="B200" s="10">
        <v>43948</v>
      </c>
      <c r="C200" s="16">
        <v>307934.75</v>
      </c>
      <c r="D200" t="s">
        <v>686</v>
      </c>
    </row>
    <row r="201" spans="1:4" x14ac:dyDescent="0.25">
      <c r="A201" t="s">
        <v>661</v>
      </c>
      <c r="B201" s="10">
        <v>44993</v>
      </c>
      <c r="C201" s="16">
        <v>978536.82</v>
      </c>
      <c r="D201" t="s">
        <v>684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3111-7962-4FD5-8383-E23BD9B13817}">
  <dimension ref="A1:N31"/>
  <sheetViews>
    <sheetView workbookViewId="0">
      <selection activeCell="A11" sqref="A11"/>
    </sheetView>
  </sheetViews>
  <sheetFormatPr defaultRowHeight="15" x14ac:dyDescent="0.25"/>
  <cols>
    <col min="1" max="1" width="13.85546875" bestFit="1" customWidth="1"/>
    <col min="2" max="2" width="20.42578125" bestFit="1" customWidth="1"/>
    <col min="3" max="3" width="19.28515625" customWidth="1"/>
    <col min="4" max="4" width="11.28515625" bestFit="1" customWidth="1"/>
    <col min="5" max="5" width="21.5703125" bestFit="1" customWidth="1"/>
    <col min="6" max="6" width="4.140625" bestFit="1" customWidth="1"/>
    <col min="7" max="7" width="11.28515625" bestFit="1" customWidth="1"/>
    <col min="8" max="8" width="13.140625" bestFit="1" customWidth="1"/>
    <col min="9" max="10" width="21" bestFit="1" customWidth="1"/>
    <col min="11" max="11" width="13.140625" bestFit="1" customWidth="1"/>
    <col min="12" max="12" width="21" bestFit="1" customWidth="1"/>
    <col min="13" max="13" width="13.140625" bestFit="1" customWidth="1"/>
    <col min="14" max="14" width="16.85546875" bestFit="1" customWidth="1"/>
    <col min="15" max="202" width="16.28515625" bestFit="1" customWidth="1"/>
    <col min="203" max="203" width="11.28515625" bestFit="1" customWidth="1"/>
  </cols>
  <sheetData>
    <row r="1" spans="1:14" x14ac:dyDescent="0.25">
      <c r="A1" s="13" t="s">
        <v>708</v>
      </c>
      <c r="B1" t="s">
        <v>710</v>
      </c>
      <c r="D1" s="13" t="s">
        <v>710</v>
      </c>
      <c r="E1" s="13" t="s">
        <v>711</v>
      </c>
      <c r="I1" s="13" t="s">
        <v>708</v>
      </c>
      <c r="J1" t="s">
        <v>710</v>
      </c>
    </row>
    <row r="2" spans="1:14" x14ac:dyDescent="0.25">
      <c r="A2" s="14" t="s">
        <v>65</v>
      </c>
      <c r="B2">
        <v>13</v>
      </c>
      <c r="D2" s="13" t="s">
        <v>708</v>
      </c>
      <c r="E2" t="s">
        <v>22</v>
      </c>
      <c r="F2" t="s">
        <v>31</v>
      </c>
      <c r="G2" t="s">
        <v>709</v>
      </c>
      <c r="I2" s="14">
        <v>0</v>
      </c>
      <c r="J2">
        <v>1</v>
      </c>
      <c r="M2" s="13" t="s">
        <v>708</v>
      </c>
      <c r="N2" t="s">
        <v>712</v>
      </c>
    </row>
    <row r="3" spans="1:14" x14ac:dyDescent="0.25">
      <c r="A3" s="14" t="s">
        <v>112</v>
      </c>
      <c r="B3">
        <v>5</v>
      </c>
      <c r="D3" s="14" t="s">
        <v>79</v>
      </c>
      <c r="F3">
        <v>1</v>
      </c>
      <c r="G3">
        <v>1</v>
      </c>
      <c r="I3" s="14">
        <v>1</v>
      </c>
      <c r="J3">
        <v>4</v>
      </c>
      <c r="M3" s="14" t="s">
        <v>685</v>
      </c>
      <c r="N3" s="18">
        <v>0.30933796002917907</v>
      </c>
    </row>
    <row r="4" spans="1:14" x14ac:dyDescent="0.25">
      <c r="A4" s="14" t="s">
        <v>50</v>
      </c>
      <c r="B4">
        <v>4</v>
      </c>
      <c r="D4" s="14" t="s">
        <v>50</v>
      </c>
      <c r="E4">
        <v>1</v>
      </c>
      <c r="F4">
        <v>3</v>
      </c>
      <c r="G4">
        <v>4</v>
      </c>
      <c r="I4" s="14">
        <v>2</v>
      </c>
      <c r="J4">
        <v>10</v>
      </c>
      <c r="M4" s="14" t="s">
        <v>689</v>
      </c>
      <c r="N4" s="18">
        <v>0.28891155346716191</v>
      </c>
    </row>
    <row r="5" spans="1:14" x14ac:dyDescent="0.25">
      <c r="A5" s="14" t="s">
        <v>39</v>
      </c>
      <c r="B5">
        <v>3</v>
      </c>
      <c r="D5" s="14" t="s">
        <v>39</v>
      </c>
      <c r="E5">
        <v>1</v>
      </c>
      <c r="F5">
        <v>2</v>
      </c>
      <c r="G5">
        <v>3</v>
      </c>
      <c r="I5" s="14">
        <v>3</v>
      </c>
      <c r="J5">
        <v>2</v>
      </c>
      <c r="M5" s="14" t="s">
        <v>687</v>
      </c>
      <c r="N5" s="18">
        <v>0.22901252558750573</v>
      </c>
    </row>
    <row r="6" spans="1:14" x14ac:dyDescent="0.25">
      <c r="A6" s="14" t="s">
        <v>16</v>
      </c>
      <c r="B6">
        <v>3</v>
      </c>
      <c r="D6" s="14" t="s">
        <v>65</v>
      </c>
      <c r="E6">
        <v>7</v>
      </c>
      <c r="F6">
        <v>6</v>
      </c>
      <c r="G6">
        <v>13</v>
      </c>
      <c r="I6" s="14">
        <v>4</v>
      </c>
      <c r="J6">
        <v>5</v>
      </c>
      <c r="M6" s="14" t="s">
        <v>683</v>
      </c>
      <c r="N6" s="18">
        <v>0.17273796091615337</v>
      </c>
    </row>
    <row r="7" spans="1:14" x14ac:dyDescent="0.25">
      <c r="A7" s="14" t="s">
        <v>45</v>
      </c>
      <c r="B7">
        <v>2</v>
      </c>
      <c r="D7" s="14" t="s">
        <v>45</v>
      </c>
      <c r="E7">
        <v>1</v>
      </c>
      <c r="F7">
        <v>1</v>
      </c>
      <c r="G7">
        <v>2</v>
      </c>
      <c r="I7" s="14">
        <v>5</v>
      </c>
      <c r="J7">
        <v>8</v>
      </c>
      <c r="M7" s="14" t="s">
        <v>709</v>
      </c>
      <c r="N7" s="18">
        <v>1</v>
      </c>
    </row>
    <row r="8" spans="1:14" x14ac:dyDescent="0.25">
      <c r="A8" s="14" t="s">
        <v>79</v>
      </c>
      <c r="B8">
        <v>1</v>
      </c>
      <c r="D8" s="14" t="s">
        <v>16</v>
      </c>
      <c r="E8">
        <v>3</v>
      </c>
      <c r="G8">
        <v>3</v>
      </c>
      <c r="I8" s="14">
        <v>10</v>
      </c>
      <c r="J8">
        <v>1</v>
      </c>
    </row>
    <row r="9" spans="1:14" x14ac:dyDescent="0.25">
      <c r="A9" s="14" t="s">
        <v>709</v>
      </c>
      <c r="B9">
        <v>31</v>
      </c>
      <c r="D9" s="14" t="s">
        <v>112</v>
      </c>
      <c r="E9">
        <v>2</v>
      </c>
      <c r="F9">
        <v>3</v>
      </c>
      <c r="G9">
        <v>5</v>
      </c>
      <c r="I9" s="14" t="s">
        <v>709</v>
      </c>
      <c r="J9">
        <v>31</v>
      </c>
    </row>
    <row r="10" spans="1:14" x14ac:dyDescent="0.25">
      <c r="D10" s="14" t="s">
        <v>709</v>
      </c>
      <c r="E10">
        <v>15</v>
      </c>
      <c r="F10">
        <v>16</v>
      </c>
      <c r="G10">
        <v>31</v>
      </c>
    </row>
    <row r="11" spans="1:14" x14ac:dyDescent="0.25">
      <c r="K11" s="13" t="s">
        <v>708</v>
      </c>
      <c r="L11" t="s">
        <v>710</v>
      </c>
    </row>
    <row r="12" spans="1:14" x14ac:dyDescent="0.25">
      <c r="K12" s="14">
        <v>2019</v>
      </c>
      <c r="L12">
        <v>44</v>
      </c>
    </row>
    <row r="13" spans="1:14" x14ac:dyDescent="0.25">
      <c r="A13" s="13" t="s">
        <v>708</v>
      </c>
      <c r="B13" s="16" t="s">
        <v>713</v>
      </c>
      <c r="D13" s="13" t="s">
        <v>708</v>
      </c>
      <c r="E13" t="s">
        <v>710</v>
      </c>
      <c r="H13" s="13" t="s">
        <v>708</v>
      </c>
      <c r="I13" t="s">
        <v>710</v>
      </c>
      <c r="K13" s="14">
        <v>2020</v>
      </c>
      <c r="L13">
        <v>31</v>
      </c>
    </row>
    <row r="14" spans="1:14" x14ac:dyDescent="0.25">
      <c r="A14" s="14" t="s">
        <v>40</v>
      </c>
      <c r="B14" s="19">
        <v>845290.25</v>
      </c>
      <c r="D14" s="14" t="s">
        <v>27</v>
      </c>
      <c r="E14" s="18">
        <v>0.67741935483870963</v>
      </c>
      <c r="H14" s="14" t="s">
        <v>685</v>
      </c>
      <c r="I14">
        <v>12</v>
      </c>
      <c r="K14" s="14">
        <v>2021</v>
      </c>
      <c r="L14">
        <v>56</v>
      </c>
    </row>
    <row r="15" spans="1:14" x14ac:dyDescent="0.25">
      <c r="A15" s="14" t="s">
        <v>96</v>
      </c>
      <c r="B15" s="19">
        <v>744362.17249999999</v>
      </c>
      <c r="D15" s="14" t="s">
        <v>18</v>
      </c>
      <c r="E15" s="18">
        <v>0.32258064516129031</v>
      </c>
      <c r="H15" s="14" t="s">
        <v>689</v>
      </c>
      <c r="I15">
        <v>8</v>
      </c>
      <c r="K15" s="14">
        <v>2022</v>
      </c>
      <c r="L15">
        <v>39</v>
      </c>
    </row>
    <row r="16" spans="1:14" x14ac:dyDescent="0.25">
      <c r="A16" s="14" t="s">
        <v>51</v>
      </c>
      <c r="B16" s="19">
        <v>637477.07400000002</v>
      </c>
      <c r="D16" s="14" t="s">
        <v>709</v>
      </c>
      <c r="E16" s="18">
        <v>1</v>
      </c>
      <c r="H16" s="14" t="s">
        <v>687</v>
      </c>
      <c r="I16">
        <v>6</v>
      </c>
      <c r="K16" s="14">
        <v>2023</v>
      </c>
      <c r="L16">
        <v>30</v>
      </c>
    </row>
    <row r="17" spans="1:12" x14ac:dyDescent="0.25">
      <c r="A17" s="14" t="s">
        <v>87</v>
      </c>
      <c r="B17" s="19">
        <v>613145.45000000007</v>
      </c>
      <c r="H17" s="14" t="s">
        <v>683</v>
      </c>
      <c r="I17">
        <v>5</v>
      </c>
      <c r="K17" s="14" t="s">
        <v>709</v>
      </c>
      <c r="L17">
        <v>200</v>
      </c>
    </row>
    <row r="18" spans="1:12" x14ac:dyDescent="0.25">
      <c r="A18" s="14" t="s">
        <v>26</v>
      </c>
      <c r="B18" s="19">
        <v>600227.46499999997</v>
      </c>
      <c r="D18" s="13" t="s">
        <v>714</v>
      </c>
      <c r="E18" s="19" t="s">
        <v>715</v>
      </c>
      <c r="H18" s="14" t="s">
        <v>709</v>
      </c>
      <c r="I18">
        <v>31</v>
      </c>
    </row>
    <row r="19" spans="1:12" x14ac:dyDescent="0.25">
      <c r="A19" s="14" t="s">
        <v>17</v>
      </c>
      <c r="B19" s="19">
        <v>583367.98</v>
      </c>
      <c r="D19" s="14" t="s">
        <v>50</v>
      </c>
      <c r="E19" s="19">
        <v>468764.02500000002</v>
      </c>
      <c r="K19" s="13" t="s">
        <v>708</v>
      </c>
      <c r="L19" t="s">
        <v>717</v>
      </c>
    </row>
    <row r="20" spans="1:12" x14ac:dyDescent="0.25">
      <c r="A20" s="14" t="s">
        <v>74</v>
      </c>
      <c r="B20" s="19">
        <v>563990.1133333334</v>
      </c>
      <c r="D20" s="14" t="s">
        <v>112</v>
      </c>
      <c r="E20" s="19">
        <v>496933.75</v>
      </c>
      <c r="H20" s="13" t="s">
        <v>708</v>
      </c>
      <c r="I20" t="s">
        <v>710</v>
      </c>
      <c r="K20" s="14">
        <v>2019</v>
      </c>
      <c r="L20">
        <v>142</v>
      </c>
    </row>
    <row r="21" spans="1:12" x14ac:dyDescent="0.25">
      <c r="A21" s="14" t="s">
        <v>80</v>
      </c>
      <c r="B21" s="19">
        <v>549020.37333333341</v>
      </c>
      <c r="D21" s="14" t="s">
        <v>79</v>
      </c>
      <c r="E21" s="19">
        <v>552212.23</v>
      </c>
      <c r="H21" s="14" t="s">
        <v>690</v>
      </c>
      <c r="I21">
        <v>4</v>
      </c>
      <c r="K21" s="14">
        <v>2020</v>
      </c>
      <c r="L21">
        <v>100</v>
      </c>
    </row>
    <row r="22" spans="1:12" x14ac:dyDescent="0.25">
      <c r="A22" s="14" t="s">
        <v>709</v>
      </c>
      <c r="B22" s="19">
        <v>650560.42290322576</v>
      </c>
      <c r="D22" s="14" t="s">
        <v>65</v>
      </c>
      <c r="E22" s="19">
        <v>689411.47538461536</v>
      </c>
      <c r="H22" s="14" t="s">
        <v>686</v>
      </c>
      <c r="I22">
        <v>11</v>
      </c>
      <c r="K22" s="14">
        <v>2021</v>
      </c>
      <c r="L22">
        <v>151</v>
      </c>
    </row>
    <row r="23" spans="1:12" x14ac:dyDescent="0.25">
      <c r="D23" s="14" t="s">
        <v>16</v>
      </c>
      <c r="E23" s="19">
        <v>736419.12666666659</v>
      </c>
      <c r="H23" s="14" t="s">
        <v>688</v>
      </c>
      <c r="I23">
        <v>5</v>
      </c>
      <c r="K23" s="14">
        <v>2022</v>
      </c>
      <c r="L23">
        <v>116</v>
      </c>
    </row>
    <row r="24" spans="1:12" x14ac:dyDescent="0.25">
      <c r="A24" s="13" t="s">
        <v>708</v>
      </c>
      <c r="B24" t="s">
        <v>713</v>
      </c>
      <c r="D24" s="14" t="s">
        <v>39</v>
      </c>
      <c r="E24" s="19">
        <v>790848.59333333327</v>
      </c>
      <c r="H24" s="14" t="s">
        <v>684</v>
      </c>
      <c r="I24">
        <v>11</v>
      </c>
      <c r="K24" s="14">
        <v>2023</v>
      </c>
      <c r="L24">
        <v>75</v>
      </c>
    </row>
    <row r="25" spans="1:12" x14ac:dyDescent="0.25">
      <c r="A25" s="14" t="s">
        <v>71</v>
      </c>
      <c r="B25" s="19">
        <v>838088.40666666673</v>
      </c>
      <c r="D25" s="14" t="s">
        <v>45</v>
      </c>
      <c r="E25" s="19">
        <v>855641.84499999997</v>
      </c>
      <c r="H25" s="14" t="s">
        <v>709</v>
      </c>
      <c r="I25">
        <v>31</v>
      </c>
      <c r="K25" s="14" t="s">
        <v>709</v>
      </c>
      <c r="L25">
        <v>584</v>
      </c>
    </row>
    <row r="26" spans="1:12" x14ac:dyDescent="0.25">
      <c r="A26" s="14" t="s">
        <v>42</v>
      </c>
      <c r="B26" s="19">
        <v>784817.82000000007</v>
      </c>
      <c r="D26" s="14" t="s">
        <v>709</v>
      </c>
      <c r="E26" s="19">
        <v>650560.42290322576</v>
      </c>
    </row>
    <row r="27" spans="1:12" x14ac:dyDescent="0.25">
      <c r="A27" s="14" t="s">
        <v>47</v>
      </c>
      <c r="B27" s="19">
        <v>664223.81444444449</v>
      </c>
      <c r="H27" s="13" t="s">
        <v>708</v>
      </c>
      <c r="I27" t="s">
        <v>710</v>
      </c>
    </row>
    <row r="28" spans="1:12" x14ac:dyDescent="0.25">
      <c r="A28" s="14" t="s">
        <v>21</v>
      </c>
      <c r="B28" s="19">
        <v>647351.79999999993</v>
      </c>
      <c r="H28" s="14" t="s">
        <v>20</v>
      </c>
      <c r="I28" s="18">
        <v>0.4838709677419355</v>
      </c>
    </row>
    <row r="29" spans="1:12" x14ac:dyDescent="0.25">
      <c r="A29" s="14" t="s">
        <v>36</v>
      </c>
      <c r="B29" s="19">
        <v>483361.70750000002</v>
      </c>
      <c r="H29" s="14" t="s">
        <v>59</v>
      </c>
      <c r="I29" s="18">
        <v>0.22580645161290322</v>
      </c>
    </row>
    <row r="30" spans="1:12" x14ac:dyDescent="0.25">
      <c r="A30" s="14" t="s">
        <v>709</v>
      </c>
      <c r="B30" s="19">
        <v>650560.42290322576</v>
      </c>
      <c r="H30" s="14" t="s">
        <v>30</v>
      </c>
      <c r="I30" s="18">
        <v>0.29032258064516131</v>
      </c>
    </row>
    <row r="31" spans="1:12" x14ac:dyDescent="0.25">
      <c r="H31" s="14" t="s">
        <v>709</v>
      </c>
      <c r="I31" s="18">
        <v>1</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5FE89-9CEE-4E3B-8370-E55A419224B9}">
  <dimension ref="D4:M9"/>
  <sheetViews>
    <sheetView showGridLines="0" showRowColHeaders="0" workbookViewId="0">
      <selection activeCell="A12" sqref="A12"/>
    </sheetView>
  </sheetViews>
  <sheetFormatPr defaultRowHeight="15" x14ac:dyDescent="0.25"/>
  <cols>
    <col min="1" max="16384" width="9.140625" style="20"/>
  </cols>
  <sheetData>
    <row r="4" spans="4:13" x14ac:dyDescent="0.25">
      <c r="M4" s="22"/>
    </row>
    <row r="9" spans="4:13" x14ac:dyDescent="0.25">
      <c r="D9"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B6A9D-6CA7-4B0C-877D-EDA4AF33F162}">
  <dimension ref="D5"/>
  <sheetViews>
    <sheetView showGridLines="0" showRowColHeaders="0" workbookViewId="0">
      <selection activeCell="K18" sqref="K18"/>
    </sheetView>
  </sheetViews>
  <sheetFormatPr defaultRowHeight="15" x14ac:dyDescent="0.25"/>
  <cols>
    <col min="1" max="1" width="9.140625" style="20"/>
    <col min="2" max="2" width="12.140625" style="20" customWidth="1"/>
    <col min="3" max="3" width="9.42578125" style="20" bestFit="1" customWidth="1"/>
    <col min="4" max="16384" width="9.140625" style="20"/>
  </cols>
  <sheetData>
    <row r="5" spans="4:4" x14ac:dyDescent="0.25">
      <c r="D5"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547D-01E0-4329-814B-E99E4139138A}">
  <dimension ref="A1:C9"/>
  <sheetViews>
    <sheetView workbookViewId="0">
      <selection sqref="A1:C9"/>
    </sheetView>
  </sheetViews>
  <sheetFormatPr defaultRowHeight="15" x14ac:dyDescent="0.25"/>
  <cols>
    <col min="1" max="1" width="15.7109375" customWidth="1"/>
    <col min="2" max="2" width="19.140625" customWidth="1"/>
    <col min="3" max="3" width="18.42578125" customWidth="1"/>
  </cols>
  <sheetData>
    <row r="1" spans="1:3" x14ac:dyDescent="0.25">
      <c r="A1" s="11" t="s">
        <v>694</v>
      </c>
      <c r="B1" s="11" t="s">
        <v>695</v>
      </c>
      <c r="C1" s="11" t="s">
        <v>696</v>
      </c>
    </row>
    <row r="2" spans="1:3" x14ac:dyDescent="0.25">
      <c r="A2" s="12" t="s">
        <v>697</v>
      </c>
      <c r="B2" s="12" t="s">
        <v>39</v>
      </c>
      <c r="C2" s="12" t="s">
        <v>698</v>
      </c>
    </row>
    <row r="3" spans="1:3" x14ac:dyDescent="0.25">
      <c r="A3" s="12" t="s">
        <v>699</v>
      </c>
      <c r="B3" s="12" t="s">
        <v>50</v>
      </c>
      <c r="C3" s="12" t="s">
        <v>698</v>
      </c>
    </row>
    <row r="4" spans="1:3" x14ac:dyDescent="0.25">
      <c r="A4" s="12" t="s">
        <v>700</v>
      </c>
      <c r="B4" s="12" t="s">
        <v>65</v>
      </c>
      <c r="C4" s="12" t="s">
        <v>698</v>
      </c>
    </row>
    <row r="5" spans="1:3" ht="16.5" customHeight="1" x14ac:dyDescent="0.25">
      <c r="A5" s="12" t="s">
        <v>701</v>
      </c>
      <c r="B5" s="12" t="s">
        <v>16</v>
      </c>
      <c r="C5" s="12" t="s">
        <v>698</v>
      </c>
    </row>
    <row r="6" spans="1:3" ht="18" customHeight="1" x14ac:dyDescent="0.25">
      <c r="A6" s="12" t="s">
        <v>702</v>
      </c>
      <c r="B6" s="12" t="s">
        <v>25</v>
      </c>
      <c r="C6" s="12" t="s">
        <v>698</v>
      </c>
    </row>
    <row r="7" spans="1:3" x14ac:dyDescent="0.25">
      <c r="A7" s="12" t="s">
        <v>703</v>
      </c>
      <c r="B7" s="12" t="s">
        <v>112</v>
      </c>
      <c r="C7" s="12" t="s">
        <v>698</v>
      </c>
    </row>
    <row r="8" spans="1:3" x14ac:dyDescent="0.25">
      <c r="A8" s="12" t="s">
        <v>704</v>
      </c>
      <c r="B8" s="12" t="s">
        <v>45</v>
      </c>
      <c r="C8" s="12" t="s">
        <v>698</v>
      </c>
    </row>
    <row r="9" spans="1:3" x14ac:dyDescent="0.25">
      <c r="A9" s="12" t="s">
        <v>705</v>
      </c>
      <c r="B9" s="12" t="s">
        <v>79</v>
      </c>
      <c r="C9" s="12" t="s">
        <v>706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1F6B-2BDA-443B-985F-F1DFA7C666E5}">
  <dimension ref="A1:D201"/>
  <sheetViews>
    <sheetView workbookViewId="0">
      <selection sqref="A1:D201"/>
    </sheetView>
  </sheetViews>
  <sheetFormatPr defaultRowHeight="15" x14ac:dyDescent="0.25"/>
  <cols>
    <col min="1" max="1" width="15" bestFit="1" customWidth="1"/>
    <col min="2" max="2" width="20.85546875" bestFit="1" customWidth="1"/>
    <col min="3" max="3" width="19.140625" bestFit="1" customWidth="1"/>
    <col min="4" max="4" width="10.85546875" bestFit="1" customWidth="1"/>
  </cols>
  <sheetData>
    <row r="1" spans="1:4" x14ac:dyDescent="0.25">
      <c r="A1" t="s">
        <v>0</v>
      </c>
      <c r="B1" t="s">
        <v>10</v>
      </c>
      <c r="C1" t="s">
        <v>11</v>
      </c>
      <c r="D1" t="s">
        <v>13</v>
      </c>
    </row>
    <row r="2" spans="1:4" x14ac:dyDescent="0.25">
      <c r="A2" t="s">
        <v>14</v>
      </c>
      <c r="B2">
        <v>5</v>
      </c>
      <c r="C2">
        <v>4.8</v>
      </c>
      <c r="D2" t="s">
        <v>22</v>
      </c>
    </row>
    <row r="3" spans="1:4" x14ac:dyDescent="0.25">
      <c r="A3" t="s">
        <v>23</v>
      </c>
      <c r="B3">
        <v>3</v>
      </c>
      <c r="C3">
        <v>2.2999999999999998</v>
      </c>
      <c r="D3" t="s">
        <v>31</v>
      </c>
    </row>
    <row r="4" spans="1:4" x14ac:dyDescent="0.25">
      <c r="A4" t="s">
        <v>32</v>
      </c>
      <c r="B4">
        <v>5</v>
      </c>
      <c r="C4">
        <v>1.5</v>
      </c>
      <c r="D4" t="s">
        <v>31</v>
      </c>
    </row>
    <row r="5" spans="1:4" x14ac:dyDescent="0.25">
      <c r="A5" t="s">
        <v>37</v>
      </c>
      <c r="B5">
        <v>5</v>
      </c>
      <c r="C5">
        <v>19.5</v>
      </c>
      <c r="D5" t="s">
        <v>22</v>
      </c>
    </row>
    <row r="6" spans="1:4" x14ac:dyDescent="0.25">
      <c r="A6" t="s">
        <v>43</v>
      </c>
      <c r="B6">
        <v>4</v>
      </c>
      <c r="C6">
        <v>0.3</v>
      </c>
      <c r="D6" t="s">
        <v>22</v>
      </c>
    </row>
    <row r="7" spans="1:4" x14ac:dyDescent="0.25">
      <c r="A7" t="s">
        <v>48</v>
      </c>
      <c r="B7">
        <v>4</v>
      </c>
      <c r="C7">
        <v>16.5</v>
      </c>
      <c r="D7" t="s">
        <v>31</v>
      </c>
    </row>
    <row r="8" spans="1:4" x14ac:dyDescent="0.25">
      <c r="A8" t="s">
        <v>54</v>
      </c>
      <c r="B8">
        <v>4</v>
      </c>
      <c r="C8">
        <v>2.9</v>
      </c>
      <c r="D8" t="s">
        <v>31</v>
      </c>
    </row>
    <row r="9" spans="1:4" x14ac:dyDescent="0.25">
      <c r="A9" t="s">
        <v>60</v>
      </c>
      <c r="B9">
        <v>2</v>
      </c>
      <c r="C9">
        <v>5.2</v>
      </c>
      <c r="D9" t="s">
        <v>22</v>
      </c>
    </row>
    <row r="10" spans="1:4" x14ac:dyDescent="0.25">
      <c r="A10" t="s">
        <v>63</v>
      </c>
      <c r="B10">
        <v>5</v>
      </c>
      <c r="C10">
        <v>14.2</v>
      </c>
      <c r="D10" t="s">
        <v>22</v>
      </c>
    </row>
    <row r="11" spans="1:4" x14ac:dyDescent="0.25">
      <c r="A11" t="s">
        <v>68</v>
      </c>
      <c r="B11">
        <v>2</v>
      </c>
      <c r="C11">
        <v>0.4</v>
      </c>
      <c r="D11" t="s">
        <v>22</v>
      </c>
    </row>
    <row r="12" spans="1:4" x14ac:dyDescent="0.25">
      <c r="A12" t="s">
        <v>72</v>
      </c>
      <c r="B12">
        <v>4</v>
      </c>
      <c r="C12">
        <v>3.3</v>
      </c>
      <c r="D12" t="s">
        <v>31</v>
      </c>
    </row>
    <row r="13" spans="1:4" x14ac:dyDescent="0.25">
      <c r="A13" t="s">
        <v>77</v>
      </c>
      <c r="B13">
        <v>1</v>
      </c>
      <c r="C13">
        <v>17.2</v>
      </c>
      <c r="D13" t="s">
        <v>22</v>
      </c>
    </row>
    <row r="14" spans="1:4" x14ac:dyDescent="0.25">
      <c r="A14" t="s">
        <v>82</v>
      </c>
      <c r="B14">
        <v>3</v>
      </c>
      <c r="C14">
        <v>7.6</v>
      </c>
      <c r="D14" t="s">
        <v>22</v>
      </c>
    </row>
    <row r="15" spans="1:4" x14ac:dyDescent="0.25">
      <c r="A15" t="s">
        <v>85</v>
      </c>
      <c r="B15">
        <v>5</v>
      </c>
      <c r="C15">
        <v>12.5</v>
      </c>
      <c r="D15" t="s">
        <v>31</v>
      </c>
    </row>
    <row r="16" spans="1:4" x14ac:dyDescent="0.25">
      <c r="A16" t="s">
        <v>91</v>
      </c>
      <c r="B16">
        <v>3</v>
      </c>
      <c r="C16">
        <v>1.2</v>
      </c>
      <c r="D16" t="s">
        <v>22</v>
      </c>
    </row>
    <row r="17" spans="1:4" x14ac:dyDescent="0.25">
      <c r="A17" t="s">
        <v>94</v>
      </c>
      <c r="B17">
        <v>2</v>
      </c>
      <c r="C17">
        <v>9.9</v>
      </c>
      <c r="D17" t="s">
        <v>31</v>
      </c>
    </row>
    <row r="18" spans="1:4" x14ac:dyDescent="0.25">
      <c r="A18" t="s">
        <v>99</v>
      </c>
      <c r="B18">
        <v>3</v>
      </c>
      <c r="C18">
        <v>16.399999999999999</v>
      </c>
      <c r="D18" t="s">
        <v>22</v>
      </c>
    </row>
    <row r="19" spans="1:4" x14ac:dyDescent="0.25">
      <c r="A19" t="s">
        <v>102</v>
      </c>
      <c r="B19">
        <v>0</v>
      </c>
      <c r="C19">
        <v>10.8</v>
      </c>
      <c r="D19" t="s">
        <v>22</v>
      </c>
    </row>
    <row r="20" spans="1:4" x14ac:dyDescent="0.25">
      <c r="A20" t="s">
        <v>106</v>
      </c>
      <c r="B20">
        <v>1</v>
      </c>
      <c r="C20">
        <v>4.2</v>
      </c>
      <c r="D20" t="s">
        <v>31</v>
      </c>
    </row>
    <row r="21" spans="1:4" x14ac:dyDescent="0.25">
      <c r="A21" t="s">
        <v>110</v>
      </c>
      <c r="B21">
        <v>3</v>
      </c>
      <c r="C21">
        <v>7.1</v>
      </c>
      <c r="D21" t="s">
        <v>22</v>
      </c>
    </row>
    <row r="22" spans="1:4" x14ac:dyDescent="0.25">
      <c r="A22" t="s">
        <v>114</v>
      </c>
      <c r="B22">
        <v>1</v>
      </c>
      <c r="C22">
        <v>9.6</v>
      </c>
      <c r="D22" t="s">
        <v>22</v>
      </c>
    </row>
    <row r="23" spans="1:4" x14ac:dyDescent="0.25">
      <c r="A23" t="s">
        <v>117</v>
      </c>
      <c r="B23">
        <v>4</v>
      </c>
      <c r="C23">
        <v>17.5</v>
      </c>
      <c r="D23" t="s">
        <v>22</v>
      </c>
    </row>
    <row r="24" spans="1:4" x14ac:dyDescent="0.25">
      <c r="A24" t="s">
        <v>120</v>
      </c>
      <c r="B24">
        <v>5</v>
      </c>
      <c r="C24">
        <v>15</v>
      </c>
      <c r="D24" t="s">
        <v>22</v>
      </c>
    </row>
    <row r="25" spans="1:4" x14ac:dyDescent="0.25">
      <c r="A25" t="s">
        <v>123</v>
      </c>
      <c r="B25">
        <v>3</v>
      </c>
      <c r="C25">
        <v>13.1</v>
      </c>
      <c r="D25" t="s">
        <v>22</v>
      </c>
    </row>
    <row r="26" spans="1:4" x14ac:dyDescent="0.25">
      <c r="A26" t="s">
        <v>126</v>
      </c>
      <c r="B26">
        <v>3</v>
      </c>
      <c r="C26">
        <v>6.9</v>
      </c>
      <c r="D26" t="s">
        <v>31</v>
      </c>
    </row>
    <row r="27" spans="1:4" x14ac:dyDescent="0.25">
      <c r="A27" t="s">
        <v>130</v>
      </c>
      <c r="B27">
        <v>4</v>
      </c>
      <c r="C27">
        <v>4.5999999999999996</v>
      </c>
      <c r="D27" t="s">
        <v>22</v>
      </c>
    </row>
    <row r="28" spans="1:4" x14ac:dyDescent="0.25">
      <c r="A28" t="s">
        <v>133</v>
      </c>
      <c r="B28">
        <v>4</v>
      </c>
      <c r="C28">
        <v>5.6</v>
      </c>
      <c r="D28" t="s">
        <v>22</v>
      </c>
    </row>
    <row r="29" spans="1:4" x14ac:dyDescent="0.25">
      <c r="A29" t="s">
        <v>135</v>
      </c>
      <c r="B29">
        <v>3</v>
      </c>
      <c r="C29">
        <v>1.1000000000000001</v>
      </c>
      <c r="D29" t="s">
        <v>31</v>
      </c>
    </row>
    <row r="30" spans="1:4" x14ac:dyDescent="0.25">
      <c r="A30" t="s">
        <v>140</v>
      </c>
      <c r="B30">
        <v>4</v>
      </c>
      <c r="C30">
        <v>14.5</v>
      </c>
      <c r="D30" t="s">
        <v>22</v>
      </c>
    </row>
    <row r="31" spans="1:4" x14ac:dyDescent="0.25">
      <c r="A31" t="s">
        <v>143</v>
      </c>
      <c r="B31">
        <v>5</v>
      </c>
      <c r="C31">
        <v>-1.2</v>
      </c>
      <c r="D31" t="s">
        <v>22</v>
      </c>
    </row>
    <row r="32" spans="1:4" x14ac:dyDescent="0.25">
      <c r="A32" t="s">
        <v>146</v>
      </c>
      <c r="B32">
        <v>2</v>
      </c>
      <c r="C32">
        <v>15.5</v>
      </c>
      <c r="D32" t="s">
        <v>22</v>
      </c>
    </row>
    <row r="33" spans="1:4" x14ac:dyDescent="0.25">
      <c r="A33" t="s">
        <v>148</v>
      </c>
      <c r="B33">
        <v>3</v>
      </c>
      <c r="C33">
        <v>6.6</v>
      </c>
      <c r="D33" t="s">
        <v>22</v>
      </c>
    </row>
    <row r="34" spans="1:4" x14ac:dyDescent="0.25">
      <c r="A34" t="s">
        <v>151</v>
      </c>
      <c r="B34">
        <v>1</v>
      </c>
      <c r="C34">
        <v>1</v>
      </c>
      <c r="D34" t="s">
        <v>22</v>
      </c>
    </row>
    <row r="35" spans="1:4" x14ac:dyDescent="0.25">
      <c r="A35" t="s">
        <v>153</v>
      </c>
      <c r="B35">
        <v>4</v>
      </c>
      <c r="C35">
        <v>0.7</v>
      </c>
      <c r="D35" t="s">
        <v>31</v>
      </c>
    </row>
    <row r="36" spans="1:4" x14ac:dyDescent="0.25">
      <c r="A36" t="s">
        <v>157</v>
      </c>
      <c r="B36">
        <v>3</v>
      </c>
      <c r="C36">
        <v>5.4</v>
      </c>
      <c r="D36" t="s">
        <v>31</v>
      </c>
    </row>
    <row r="37" spans="1:4" x14ac:dyDescent="0.25">
      <c r="A37" t="s">
        <v>162</v>
      </c>
      <c r="B37">
        <v>0</v>
      </c>
      <c r="C37">
        <v>14.2</v>
      </c>
      <c r="D37" t="s">
        <v>31</v>
      </c>
    </row>
    <row r="38" spans="1:4" x14ac:dyDescent="0.25">
      <c r="A38" t="s">
        <v>167</v>
      </c>
      <c r="B38">
        <v>2</v>
      </c>
      <c r="C38">
        <v>12.7</v>
      </c>
      <c r="D38" t="s">
        <v>31</v>
      </c>
    </row>
    <row r="39" spans="1:4" x14ac:dyDescent="0.25">
      <c r="A39" t="s">
        <v>170</v>
      </c>
      <c r="B39">
        <v>3</v>
      </c>
      <c r="C39">
        <v>8.4</v>
      </c>
      <c r="D39" t="s">
        <v>22</v>
      </c>
    </row>
    <row r="40" spans="1:4" x14ac:dyDescent="0.25">
      <c r="A40" t="s">
        <v>173</v>
      </c>
      <c r="B40">
        <v>2</v>
      </c>
      <c r="C40">
        <v>15.4</v>
      </c>
      <c r="D40" t="s">
        <v>22</v>
      </c>
    </row>
    <row r="41" spans="1:4" x14ac:dyDescent="0.25">
      <c r="A41" t="s">
        <v>175</v>
      </c>
      <c r="B41">
        <v>5</v>
      </c>
      <c r="C41">
        <v>3.1</v>
      </c>
      <c r="D41" t="s">
        <v>31</v>
      </c>
    </row>
    <row r="42" spans="1:4" x14ac:dyDescent="0.25">
      <c r="A42" t="s">
        <v>179</v>
      </c>
      <c r="B42">
        <v>4</v>
      </c>
      <c r="C42">
        <v>15.5</v>
      </c>
      <c r="D42" t="s">
        <v>22</v>
      </c>
    </row>
    <row r="43" spans="1:4" x14ac:dyDescent="0.25">
      <c r="A43" t="s">
        <v>182</v>
      </c>
      <c r="B43">
        <v>1</v>
      </c>
      <c r="C43">
        <v>19.899999999999999</v>
      </c>
      <c r="D43" t="s">
        <v>31</v>
      </c>
    </row>
    <row r="44" spans="1:4" x14ac:dyDescent="0.25">
      <c r="A44" t="s">
        <v>186</v>
      </c>
      <c r="B44">
        <v>4</v>
      </c>
      <c r="C44">
        <v>6.3</v>
      </c>
      <c r="D44" t="s">
        <v>22</v>
      </c>
    </row>
    <row r="45" spans="1:4" x14ac:dyDescent="0.25">
      <c r="A45" t="s">
        <v>189</v>
      </c>
      <c r="B45">
        <v>2</v>
      </c>
      <c r="C45">
        <v>18.7</v>
      </c>
      <c r="D45" t="s">
        <v>31</v>
      </c>
    </row>
    <row r="46" spans="1:4" x14ac:dyDescent="0.25">
      <c r="A46" t="s">
        <v>193</v>
      </c>
      <c r="B46">
        <v>3</v>
      </c>
      <c r="C46">
        <v>4.7</v>
      </c>
      <c r="D46" t="s">
        <v>31</v>
      </c>
    </row>
    <row r="47" spans="1:4" x14ac:dyDescent="0.25">
      <c r="A47" t="s">
        <v>197</v>
      </c>
      <c r="B47">
        <v>3</v>
      </c>
      <c r="C47">
        <v>1.6</v>
      </c>
      <c r="D47" t="s">
        <v>31</v>
      </c>
    </row>
    <row r="48" spans="1:4" x14ac:dyDescent="0.25">
      <c r="A48" t="s">
        <v>201</v>
      </c>
      <c r="B48">
        <v>5</v>
      </c>
      <c r="C48">
        <v>6.8</v>
      </c>
      <c r="D48" t="s">
        <v>22</v>
      </c>
    </row>
    <row r="49" spans="1:4" x14ac:dyDescent="0.25">
      <c r="A49" t="s">
        <v>204</v>
      </c>
      <c r="B49">
        <v>1</v>
      </c>
      <c r="C49">
        <v>1.9</v>
      </c>
      <c r="D49" t="s">
        <v>22</v>
      </c>
    </row>
    <row r="50" spans="1:4" x14ac:dyDescent="0.25">
      <c r="A50" t="s">
        <v>206</v>
      </c>
      <c r="B50">
        <v>2</v>
      </c>
      <c r="C50">
        <v>15.5</v>
      </c>
      <c r="D50" t="s">
        <v>22</v>
      </c>
    </row>
    <row r="51" spans="1:4" x14ac:dyDescent="0.25">
      <c r="A51" t="s">
        <v>209</v>
      </c>
      <c r="B51">
        <v>5</v>
      </c>
      <c r="C51">
        <v>2</v>
      </c>
      <c r="D51" t="s">
        <v>31</v>
      </c>
    </row>
    <row r="52" spans="1:4" x14ac:dyDescent="0.25">
      <c r="A52" t="s">
        <v>213</v>
      </c>
      <c r="B52">
        <v>1</v>
      </c>
      <c r="C52">
        <v>13.8</v>
      </c>
      <c r="D52" t="s">
        <v>22</v>
      </c>
    </row>
    <row r="53" spans="1:4" x14ac:dyDescent="0.25">
      <c r="A53" t="s">
        <v>216</v>
      </c>
      <c r="B53">
        <v>3</v>
      </c>
      <c r="C53">
        <v>3.2</v>
      </c>
      <c r="D53" t="s">
        <v>31</v>
      </c>
    </row>
    <row r="54" spans="1:4" x14ac:dyDescent="0.25">
      <c r="A54" t="s">
        <v>220</v>
      </c>
      <c r="B54">
        <v>4</v>
      </c>
      <c r="C54">
        <v>18.399999999999999</v>
      </c>
      <c r="D54" t="s">
        <v>22</v>
      </c>
    </row>
    <row r="55" spans="1:4" x14ac:dyDescent="0.25">
      <c r="A55" t="s">
        <v>223</v>
      </c>
      <c r="B55">
        <v>10</v>
      </c>
      <c r="C55">
        <v>18.8</v>
      </c>
      <c r="D55" t="s">
        <v>22</v>
      </c>
    </row>
    <row r="56" spans="1:4" x14ac:dyDescent="0.25">
      <c r="A56" t="s">
        <v>226</v>
      </c>
      <c r="B56">
        <v>1</v>
      </c>
      <c r="C56">
        <v>6.4</v>
      </c>
      <c r="D56" t="s">
        <v>22</v>
      </c>
    </row>
    <row r="57" spans="1:4" x14ac:dyDescent="0.25">
      <c r="A57" t="s">
        <v>229</v>
      </c>
      <c r="B57">
        <v>1</v>
      </c>
      <c r="C57">
        <v>14.9</v>
      </c>
      <c r="D57" t="s">
        <v>22</v>
      </c>
    </row>
    <row r="58" spans="1:4" x14ac:dyDescent="0.25">
      <c r="A58" t="s">
        <v>232</v>
      </c>
      <c r="B58">
        <v>5</v>
      </c>
      <c r="C58">
        <v>6</v>
      </c>
      <c r="D58" t="s">
        <v>31</v>
      </c>
    </row>
    <row r="59" spans="1:4" x14ac:dyDescent="0.25">
      <c r="A59" t="s">
        <v>233</v>
      </c>
      <c r="B59">
        <v>1</v>
      </c>
      <c r="C59">
        <v>18.7</v>
      </c>
      <c r="D59" t="s">
        <v>31</v>
      </c>
    </row>
    <row r="60" spans="1:4" x14ac:dyDescent="0.25">
      <c r="A60" t="s">
        <v>237</v>
      </c>
      <c r="B60">
        <v>1</v>
      </c>
      <c r="C60">
        <v>0.9</v>
      </c>
      <c r="D60" t="s">
        <v>22</v>
      </c>
    </row>
    <row r="61" spans="1:4" x14ac:dyDescent="0.25">
      <c r="A61" t="s">
        <v>240</v>
      </c>
      <c r="B61">
        <v>2</v>
      </c>
      <c r="C61">
        <v>-4.5999999999999996</v>
      </c>
      <c r="D61" t="s">
        <v>22</v>
      </c>
    </row>
    <row r="62" spans="1:4" x14ac:dyDescent="0.25">
      <c r="A62" t="s">
        <v>242</v>
      </c>
      <c r="B62">
        <v>2</v>
      </c>
      <c r="C62">
        <v>9.6999999999999993</v>
      </c>
      <c r="D62" t="s">
        <v>22</v>
      </c>
    </row>
    <row r="63" spans="1:4" x14ac:dyDescent="0.25">
      <c r="A63" t="s">
        <v>245</v>
      </c>
      <c r="B63">
        <v>5</v>
      </c>
      <c r="C63">
        <v>8.8000000000000007</v>
      </c>
      <c r="D63" t="s">
        <v>22</v>
      </c>
    </row>
    <row r="64" spans="1:4" x14ac:dyDescent="0.25">
      <c r="A64" t="s">
        <v>248</v>
      </c>
      <c r="B64">
        <v>4</v>
      </c>
      <c r="C64">
        <v>3.5</v>
      </c>
      <c r="D64" t="s">
        <v>22</v>
      </c>
    </row>
    <row r="65" spans="1:4" x14ac:dyDescent="0.25">
      <c r="A65" t="s">
        <v>251</v>
      </c>
      <c r="B65">
        <v>5</v>
      </c>
      <c r="C65">
        <v>12.4</v>
      </c>
      <c r="D65" t="s">
        <v>22</v>
      </c>
    </row>
    <row r="66" spans="1:4" x14ac:dyDescent="0.25">
      <c r="A66" t="s">
        <v>254</v>
      </c>
      <c r="B66">
        <v>2</v>
      </c>
      <c r="C66">
        <v>12.4</v>
      </c>
      <c r="D66" t="s">
        <v>31</v>
      </c>
    </row>
    <row r="67" spans="1:4" x14ac:dyDescent="0.25">
      <c r="A67" t="s">
        <v>258</v>
      </c>
      <c r="B67">
        <v>4</v>
      </c>
      <c r="C67">
        <v>18.8</v>
      </c>
      <c r="D67" t="s">
        <v>22</v>
      </c>
    </row>
    <row r="68" spans="1:4" x14ac:dyDescent="0.25">
      <c r="A68" t="s">
        <v>261</v>
      </c>
      <c r="B68">
        <v>2</v>
      </c>
      <c r="C68">
        <v>13.8</v>
      </c>
      <c r="D68" t="s">
        <v>22</v>
      </c>
    </row>
    <row r="69" spans="1:4" x14ac:dyDescent="0.25">
      <c r="A69" t="s">
        <v>264</v>
      </c>
      <c r="B69">
        <v>1</v>
      </c>
      <c r="C69">
        <v>8.4</v>
      </c>
      <c r="D69" t="s">
        <v>22</v>
      </c>
    </row>
    <row r="70" spans="1:4" x14ac:dyDescent="0.25">
      <c r="A70" t="s">
        <v>267</v>
      </c>
      <c r="B70">
        <v>3</v>
      </c>
      <c r="C70">
        <v>18.899999999999999</v>
      </c>
      <c r="D70" t="s">
        <v>31</v>
      </c>
    </row>
    <row r="71" spans="1:4" x14ac:dyDescent="0.25">
      <c r="A71" t="s">
        <v>271</v>
      </c>
      <c r="B71">
        <v>3</v>
      </c>
      <c r="C71">
        <v>11</v>
      </c>
      <c r="D71" t="s">
        <v>31</v>
      </c>
    </row>
    <row r="72" spans="1:4" x14ac:dyDescent="0.25">
      <c r="A72" t="s">
        <v>274</v>
      </c>
      <c r="B72">
        <v>5</v>
      </c>
      <c r="C72">
        <v>18.100000000000001</v>
      </c>
      <c r="D72" t="s">
        <v>31</v>
      </c>
    </row>
    <row r="73" spans="1:4" x14ac:dyDescent="0.25">
      <c r="A73" t="s">
        <v>277</v>
      </c>
      <c r="B73">
        <v>0</v>
      </c>
      <c r="C73">
        <v>2.7</v>
      </c>
      <c r="D73" t="s">
        <v>31</v>
      </c>
    </row>
    <row r="74" spans="1:4" x14ac:dyDescent="0.25">
      <c r="A74" t="s">
        <v>281</v>
      </c>
      <c r="B74">
        <v>1</v>
      </c>
      <c r="C74">
        <v>12.4</v>
      </c>
      <c r="D74" t="s">
        <v>31</v>
      </c>
    </row>
    <row r="75" spans="1:4" x14ac:dyDescent="0.25">
      <c r="A75" t="s">
        <v>284</v>
      </c>
      <c r="B75">
        <v>1</v>
      </c>
      <c r="C75">
        <v>14</v>
      </c>
      <c r="D75" t="s">
        <v>22</v>
      </c>
    </row>
    <row r="76" spans="1:4" x14ac:dyDescent="0.25">
      <c r="A76" t="s">
        <v>287</v>
      </c>
      <c r="B76">
        <v>2</v>
      </c>
      <c r="C76">
        <v>16.600000000000001</v>
      </c>
      <c r="D76" t="s">
        <v>31</v>
      </c>
    </row>
    <row r="77" spans="1:4" x14ac:dyDescent="0.25">
      <c r="A77" t="s">
        <v>290</v>
      </c>
      <c r="B77">
        <v>2</v>
      </c>
      <c r="C77">
        <v>13.4</v>
      </c>
      <c r="D77" t="s">
        <v>22</v>
      </c>
    </row>
    <row r="78" spans="1:4" x14ac:dyDescent="0.25">
      <c r="A78" t="s">
        <v>293</v>
      </c>
      <c r="B78">
        <v>1</v>
      </c>
      <c r="C78">
        <v>5.9</v>
      </c>
      <c r="D78" t="s">
        <v>22</v>
      </c>
    </row>
    <row r="79" spans="1:4" x14ac:dyDescent="0.25">
      <c r="A79" t="s">
        <v>296</v>
      </c>
      <c r="B79">
        <v>1</v>
      </c>
      <c r="C79">
        <v>19</v>
      </c>
      <c r="D79" t="s">
        <v>31</v>
      </c>
    </row>
    <row r="80" spans="1:4" x14ac:dyDescent="0.25">
      <c r="A80" t="s">
        <v>300</v>
      </c>
      <c r="B80">
        <v>1</v>
      </c>
      <c r="C80">
        <v>3.2</v>
      </c>
      <c r="D80" t="s">
        <v>31</v>
      </c>
    </row>
    <row r="81" spans="1:4" x14ac:dyDescent="0.25">
      <c r="A81" t="s">
        <v>304</v>
      </c>
      <c r="B81">
        <v>1</v>
      </c>
      <c r="C81">
        <v>16.399999999999999</v>
      </c>
      <c r="D81" t="s">
        <v>31</v>
      </c>
    </row>
    <row r="82" spans="1:4" x14ac:dyDescent="0.25">
      <c r="A82" t="s">
        <v>304</v>
      </c>
      <c r="B82">
        <v>1</v>
      </c>
      <c r="C82">
        <v>1.7</v>
      </c>
      <c r="D82" t="s">
        <v>22</v>
      </c>
    </row>
    <row r="83" spans="1:4" x14ac:dyDescent="0.25">
      <c r="A83" t="s">
        <v>311</v>
      </c>
      <c r="B83">
        <v>1</v>
      </c>
      <c r="C83">
        <v>2.5</v>
      </c>
      <c r="D83" t="s">
        <v>31</v>
      </c>
    </row>
    <row r="84" spans="1:4" x14ac:dyDescent="0.25">
      <c r="A84" t="s">
        <v>315</v>
      </c>
      <c r="B84">
        <v>4</v>
      </c>
      <c r="C84">
        <v>14.8</v>
      </c>
      <c r="D84" t="s">
        <v>22</v>
      </c>
    </row>
    <row r="85" spans="1:4" x14ac:dyDescent="0.25">
      <c r="A85" t="s">
        <v>317</v>
      </c>
      <c r="B85">
        <v>1</v>
      </c>
      <c r="C85">
        <v>7.4</v>
      </c>
      <c r="D85" t="s">
        <v>22</v>
      </c>
    </row>
    <row r="86" spans="1:4" x14ac:dyDescent="0.25">
      <c r="A86" t="s">
        <v>321</v>
      </c>
      <c r="B86">
        <v>4</v>
      </c>
      <c r="C86">
        <v>11.9</v>
      </c>
      <c r="D86" t="s">
        <v>22</v>
      </c>
    </row>
    <row r="87" spans="1:4" x14ac:dyDescent="0.25">
      <c r="A87" t="s">
        <v>324</v>
      </c>
      <c r="B87">
        <v>1</v>
      </c>
      <c r="C87">
        <v>0.2</v>
      </c>
      <c r="D87" t="s">
        <v>22</v>
      </c>
    </row>
    <row r="88" spans="1:4" x14ac:dyDescent="0.25">
      <c r="A88" t="s">
        <v>327</v>
      </c>
      <c r="B88">
        <v>3</v>
      </c>
      <c r="C88">
        <v>3.3</v>
      </c>
      <c r="D88" t="s">
        <v>31</v>
      </c>
    </row>
    <row r="89" spans="1:4" x14ac:dyDescent="0.25">
      <c r="A89" t="s">
        <v>331</v>
      </c>
      <c r="B89">
        <v>5</v>
      </c>
      <c r="C89">
        <v>12.5</v>
      </c>
      <c r="D89" t="s">
        <v>31</v>
      </c>
    </row>
    <row r="90" spans="1:4" x14ac:dyDescent="0.25">
      <c r="A90" t="s">
        <v>335</v>
      </c>
      <c r="B90">
        <v>2</v>
      </c>
      <c r="C90">
        <v>3.4</v>
      </c>
      <c r="D90" t="s">
        <v>31</v>
      </c>
    </row>
    <row r="91" spans="1:4" x14ac:dyDescent="0.25">
      <c r="A91" t="s">
        <v>339</v>
      </c>
      <c r="B91">
        <v>0</v>
      </c>
      <c r="C91">
        <v>-3.9</v>
      </c>
      <c r="D91" t="s">
        <v>22</v>
      </c>
    </row>
    <row r="92" spans="1:4" x14ac:dyDescent="0.25">
      <c r="A92" t="s">
        <v>343</v>
      </c>
      <c r="B92">
        <v>3</v>
      </c>
      <c r="C92">
        <v>2.7</v>
      </c>
      <c r="D92" t="s">
        <v>22</v>
      </c>
    </row>
    <row r="93" spans="1:4" x14ac:dyDescent="0.25">
      <c r="A93" t="s">
        <v>345</v>
      </c>
      <c r="B93">
        <v>3</v>
      </c>
      <c r="C93">
        <v>7.7</v>
      </c>
      <c r="D93" t="s">
        <v>22</v>
      </c>
    </row>
    <row r="94" spans="1:4" x14ac:dyDescent="0.25">
      <c r="A94" t="s">
        <v>348</v>
      </c>
      <c r="B94">
        <v>2</v>
      </c>
      <c r="C94">
        <v>13.4</v>
      </c>
      <c r="D94" t="s">
        <v>22</v>
      </c>
    </row>
    <row r="95" spans="1:4" x14ac:dyDescent="0.25">
      <c r="A95" t="s">
        <v>350</v>
      </c>
      <c r="B95">
        <v>2</v>
      </c>
      <c r="C95">
        <v>6.4</v>
      </c>
      <c r="D95" t="s">
        <v>22</v>
      </c>
    </row>
    <row r="96" spans="1:4" x14ac:dyDescent="0.25">
      <c r="A96" t="s">
        <v>353</v>
      </c>
      <c r="B96">
        <v>5</v>
      </c>
      <c r="C96">
        <v>3.9</v>
      </c>
      <c r="D96" t="s">
        <v>22</v>
      </c>
    </row>
    <row r="97" spans="1:4" x14ac:dyDescent="0.25">
      <c r="A97" t="s">
        <v>356</v>
      </c>
      <c r="B97">
        <v>5</v>
      </c>
      <c r="C97">
        <v>3.6</v>
      </c>
      <c r="D97" t="s">
        <v>31</v>
      </c>
    </row>
    <row r="98" spans="1:4" x14ac:dyDescent="0.25">
      <c r="A98" t="s">
        <v>360</v>
      </c>
      <c r="B98">
        <v>3</v>
      </c>
      <c r="C98">
        <v>13</v>
      </c>
      <c r="D98" t="s">
        <v>22</v>
      </c>
    </row>
    <row r="99" spans="1:4" x14ac:dyDescent="0.25">
      <c r="A99" t="s">
        <v>363</v>
      </c>
      <c r="B99">
        <v>4</v>
      </c>
      <c r="C99">
        <v>6.7</v>
      </c>
      <c r="D99" t="s">
        <v>31</v>
      </c>
    </row>
    <row r="100" spans="1:4" x14ac:dyDescent="0.25">
      <c r="A100" t="s">
        <v>366</v>
      </c>
      <c r="B100">
        <v>4</v>
      </c>
      <c r="C100">
        <v>1</v>
      </c>
      <c r="D100" t="s">
        <v>22</v>
      </c>
    </row>
    <row r="101" spans="1:4" x14ac:dyDescent="0.25">
      <c r="A101" t="s">
        <v>368</v>
      </c>
      <c r="B101">
        <v>4</v>
      </c>
      <c r="C101">
        <v>4.5999999999999996</v>
      </c>
      <c r="D101" t="s">
        <v>22</v>
      </c>
    </row>
    <row r="102" spans="1:4" x14ac:dyDescent="0.25">
      <c r="A102" t="s">
        <v>370</v>
      </c>
      <c r="B102">
        <v>4</v>
      </c>
      <c r="C102">
        <v>18.899999999999999</v>
      </c>
      <c r="D102" t="s">
        <v>22</v>
      </c>
    </row>
    <row r="103" spans="1:4" x14ac:dyDescent="0.25">
      <c r="A103" t="s">
        <v>373</v>
      </c>
      <c r="B103">
        <v>3</v>
      </c>
      <c r="C103">
        <v>0.6</v>
      </c>
      <c r="D103" t="s">
        <v>22</v>
      </c>
    </row>
    <row r="104" spans="1:4" x14ac:dyDescent="0.25">
      <c r="A104" t="s">
        <v>376</v>
      </c>
      <c r="B104">
        <v>5</v>
      </c>
      <c r="C104">
        <v>3.4</v>
      </c>
      <c r="D104" t="s">
        <v>22</v>
      </c>
    </row>
    <row r="105" spans="1:4" x14ac:dyDescent="0.25">
      <c r="A105" t="s">
        <v>379</v>
      </c>
      <c r="B105">
        <v>5</v>
      </c>
      <c r="C105">
        <v>7.8</v>
      </c>
      <c r="D105" t="s">
        <v>22</v>
      </c>
    </row>
    <row r="106" spans="1:4" x14ac:dyDescent="0.25">
      <c r="A106" t="s">
        <v>381</v>
      </c>
      <c r="B106">
        <v>3</v>
      </c>
      <c r="C106">
        <v>19.5</v>
      </c>
      <c r="D106" t="s">
        <v>22</v>
      </c>
    </row>
    <row r="107" spans="1:4" x14ac:dyDescent="0.25">
      <c r="A107" t="s">
        <v>385</v>
      </c>
      <c r="B107">
        <v>3</v>
      </c>
      <c r="C107">
        <v>12.5</v>
      </c>
      <c r="D107" t="s">
        <v>22</v>
      </c>
    </row>
    <row r="108" spans="1:4" x14ac:dyDescent="0.25">
      <c r="A108" t="s">
        <v>388</v>
      </c>
      <c r="B108">
        <v>1</v>
      </c>
      <c r="C108">
        <v>17.100000000000001</v>
      </c>
      <c r="D108" t="s">
        <v>31</v>
      </c>
    </row>
    <row r="109" spans="1:4" x14ac:dyDescent="0.25">
      <c r="A109" t="s">
        <v>391</v>
      </c>
      <c r="B109">
        <v>0</v>
      </c>
      <c r="C109">
        <v>18.899999999999999</v>
      </c>
      <c r="D109" t="s">
        <v>22</v>
      </c>
    </row>
    <row r="110" spans="1:4" x14ac:dyDescent="0.25">
      <c r="A110" t="s">
        <v>394</v>
      </c>
      <c r="B110">
        <v>1</v>
      </c>
      <c r="C110">
        <v>13.5</v>
      </c>
      <c r="D110" t="s">
        <v>22</v>
      </c>
    </row>
    <row r="111" spans="1:4" x14ac:dyDescent="0.25">
      <c r="A111" t="s">
        <v>397</v>
      </c>
      <c r="B111">
        <v>1</v>
      </c>
      <c r="C111">
        <v>10.7</v>
      </c>
      <c r="D111" t="s">
        <v>22</v>
      </c>
    </row>
    <row r="112" spans="1:4" x14ac:dyDescent="0.25">
      <c r="A112" t="s">
        <v>400</v>
      </c>
      <c r="B112">
        <v>2</v>
      </c>
      <c r="C112">
        <v>12.9</v>
      </c>
      <c r="D112" t="s">
        <v>22</v>
      </c>
    </row>
    <row r="113" spans="1:4" x14ac:dyDescent="0.25">
      <c r="A113" t="s">
        <v>403</v>
      </c>
      <c r="B113">
        <v>2</v>
      </c>
      <c r="C113">
        <v>12.4</v>
      </c>
      <c r="D113" t="s">
        <v>31</v>
      </c>
    </row>
    <row r="114" spans="1:4" x14ac:dyDescent="0.25">
      <c r="A114" t="s">
        <v>407</v>
      </c>
      <c r="B114">
        <v>2</v>
      </c>
      <c r="C114">
        <v>0.7</v>
      </c>
      <c r="D114" t="s">
        <v>22</v>
      </c>
    </row>
    <row r="115" spans="1:4" x14ac:dyDescent="0.25">
      <c r="A115" t="s">
        <v>409</v>
      </c>
      <c r="B115">
        <v>3</v>
      </c>
      <c r="C115">
        <v>4.5999999999999996</v>
      </c>
      <c r="D115" t="s">
        <v>31</v>
      </c>
    </row>
    <row r="116" spans="1:4" x14ac:dyDescent="0.25">
      <c r="A116" t="s">
        <v>412</v>
      </c>
      <c r="B116">
        <v>3</v>
      </c>
      <c r="C116">
        <v>13.9</v>
      </c>
      <c r="D116" t="s">
        <v>22</v>
      </c>
    </row>
    <row r="117" spans="1:4" x14ac:dyDescent="0.25">
      <c r="A117" t="s">
        <v>413</v>
      </c>
      <c r="B117">
        <v>3</v>
      </c>
      <c r="C117">
        <v>2.9</v>
      </c>
      <c r="D117" t="s">
        <v>31</v>
      </c>
    </row>
    <row r="118" spans="1:4" x14ac:dyDescent="0.25">
      <c r="A118" t="s">
        <v>417</v>
      </c>
      <c r="B118">
        <v>2</v>
      </c>
      <c r="C118">
        <v>7.1</v>
      </c>
      <c r="D118" t="s">
        <v>31</v>
      </c>
    </row>
    <row r="119" spans="1:4" x14ac:dyDescent="0.25">
      <c r="A119" t="s">
        <v>420</v>
      </c>
      <c r="B119">
        <v>1</v>
      </c>
      <c r="C119">
        <v>0.3</v>
      </c>
      <c r="D119" t="s">
        <v>31</v>
      </c>
    </row>
    <row r="120" spans="1:4" x14ac:dyDescent="0.25">
      <c r="A120" t="s">
        <v>422</v>
      </c>
      <c r="B120">
        <v>4</v>
      </c>
      <c r="C120">
        <v>3.2</v>
      </c>
      <c r="D120" t="s">
        <v>22</v>
      </c>
    </row>
    <row r="121" spans="1:4" x14ac:dyDescent="0.25">
      <c r="A121" t="s">
        <v>425</v>
      </c>
      <c r="B121">
        <v>5</v>
      </c>
      <c r="C121">
        <v>-3.4</v>
      </c>
      <c r="D121" t="s">
        <v>22</v>
      </c>
    </row>
    <row r="122" spans="1:4" x14ac:dyDescent="0.25">
      <c r="A122" t="s">
        <v>428</v>
      </c>
      <c r="B122">
        <v>4</v>
      </c>
      <c r="C122">
        <v>8.4</v>
      </c>
      <c r="D122" t="s">
        <v>31</v>
      </c>
    </row>
    <row r="123" spans="1:4" x14ac:dyDescent="0.25">
      <c r="A123" t="s">
        <v>432</v>
      </c>
      <c r="B123">
        <v>3</v>
      </c>
      <c r="C123">
        <v>4.4000000000000004</v>
      </c>
      <c r="D123" t="s">
        <v>22</v>
      </c>
    </row>
    <row r="124" spans="1:4" x14ac:dyDescent="0.25">
      <c r="A124" t="s">
        <v>435</v>
      </c>
      <c r="B124">
        <v>5</v>
      </c>
      <c r="C124">
        <v>19.5</v>
      </c>
      <c r="D124" t="s">
        <v>22</v>
      </c>
    </row>
    <row r="125" spans="1:4" x14ac:dyDescent="0.25">
      <c r="A125" t="s">
        <v>438</v>
      </c>
      <c r="B125">
        <v>4</v>
      </c>
      <c r="C125">
        <v>4.5</v>
      </c>
      <c r="D125" t="s">
        <v>22</v>
      </c>
    </row>
    <row r="126" spans="1:4" x14ac:dyDescent="0.25">
      <c r="A126" t="s">
        <v>441</v>
      </c>
      <c r="B126">
        <v>4</v>
      </c>
      <c r="C126">
        <v>12.6</v>
      </c>
      <c r="D126" t="s">
        <v>31</v>
      </c>
    </row>
    <row r="127" spans="1:4" x14ac:dyDescent="0.25">
      <c r="A127" t="s">
        <v>445</v>
      </c>
      <c r="B127">
        <v>0</v>
      </c>
      <c r="C127">
        <v>14.7</v>
      </c>
      <c r="D127" t="s">
        <v>22</v>
      </c>
    </row>
    <row r="128" spans="1:4" x14ac:dyDescent="0.25">
      <c r="A128" t="s">
        <v>448</v>
      </c>
      <c r="B128">
        <v>1</v>
      </c>
      <c r="C128">
        <v>16.5</v>
      </c>
      <c r="D128" t="s">
        <v>22</v>
      </c>
    </row>
    <row r="129" spans="1:4" x14ac:dyDescent="0.25">
      <c r="A129" t="s">
        <v>451</v>
      </c>
      <c r="B129">
        <v>2</v>
      </c>
      <c r="C129">
        <v>18.5</v>
      </c>
      <c r="D129" t="s">
        <v>31</v>
      </c>
    </row>
    <row r="130" spans="1:4" x14ac:dyDescent="0.25">
      <c r="A130" t="s">
        <v>455</v>
      </c>
      <c r="B130">
        <v>1</v>
      </c>
      <c r="C130">
        <v>13.7</v>
      </c>
      <c r="D130" t="s">
        <v>22</v>
      </c>
    </row>
    <row r="131" spans="1:4" x14ac:dyDescent="0.25">
      <c r="A131" t="s">
        <v>458</v>
      </c>
      <c r="B131">
        <v>1</v>
      </c>
      <c r="C131">
        <v>0</v>
      </c>
      <c r="D131" t="s">
        <v>22</v>
      </c>
    </row>
    <row r="132" spans="1:4" x14ac:dyDescent="0.25">
      <c r="A132" t="s">
        <v>460</v>
      </c>
      <c r="B132">
        <v>2</v>
      </c>
      <c r="C132">
        <v>18.3</v>
      </c>
      <c r="D132" t="s">
        <v>31</v>
      </c>
    </row>
    <row r="133" spans="1:4" x14ac:dyDescent="0.25">
      <c r="A133" t="s">
        <v>464</v>
      </c>
      <c r="B133">
        <v>5</v>
      </c>
      <c r="C133">
        <v>11.1</v>
      </c>
      <c r="D133" t="s">
        <v>22</v>
      </c>
    </row>
    <row r="134" spans="1:4" x14ac:dyDescent="0.25">
      <c r="A134" t="s">
        <v>467</v>
      </c>
      <c r="B134">
        <v>1</v>
      </c>
      <c r="C134">
        <v>16.899999999999999</v>
      </c>
      <c r="D134" t="s">
        <v>22</v>
      </c>
    </row>
    <row r="135" spans="1:4" x14ac:dyDescent="0.25">
      <c r="A135" t="s">
        <v>470</v>
      </c>
      <c r="B135">
        <v>1</v>
      </c>
      <c r="C135">
        <v>7.1</v>
      </c>
      <c r="D135" t="s">
        <v>22</v>
      </c>
    </row>
    <row r="136" spans="1:4" x14ac:dyDescent="0.25">
      <c r="A136" t="s">
        <v>473</v>
      </c>
      <c r="B136">
        <v>2</v>
      </c>
      <c r="C136">
        <v>16</v>
      </c>
      <c r="D136" t="s">
        <v>22</v>
      </c>
    </row>
    <row r="137" spans="1:4" x14ac:dyDescent="0.25">
      <c r="A137" t="s">
        <v>476</v>
      </c>
      <c r="B137">
        <v>5</v>
      </c>
      <c r="C137">
        <v>9.1999999999999993</v>
      </c>
      <c r="D137" t="s">
        <v>31</v>
      </c>
    </row>
    <row r="138" spans="1:4" x14ac:dyDescent="0.25">
      <c r="A138" t="s">
        <v>480</v>
      </c>
      <c r="B138">
        <v>2</v>
      </c>
      <c r="C138">
        <v>0.5</v>
      </c>
      <c r="D138" t="s">
        <v>31</v>
      </c>
    </row>
    <row r="139" spans="1:4" x14ac:dyDescent="0.25">
      <c r="A139" t="s">
        <v>483</v>
      </c>
      <c r="B139">
        <v>5</v>
      </c>
      <c r="C139">
        <v>13.5</v>
      </c>
      <c r="D139" t="s">
        <v>22</v>
      </c>
    </row>
    <row r="140" spans="1:4" x14ac:dyDescent="0.25">
      <c r="A140" t="s">
        <v>486</v>
      </c>
      <c r="B140">
        <v>1</v>
      </c>
      <c r="C140">
        <v>12.1</v>
      </c>
      <c r="D140" t="s">
        <v>22</v>
      </c>
    </row>
    <row r="141" spans="1:4" x14ac:dyDescent="0.25">
      <c r="A141" t="s">
        <v>489</v>
      </c>
      <c r="B141">
        <v>1</v>
      </c>
      <c r="C141">
        <v>10.199999999999999</v>
      </c>
      <c r="D141" t="s">
        <v>22</v>
      </c>
    </row>
    <row r="142" spans="1:4" x14ac:dyDescent="0.25">
      <c r="A142" t="s">
        <v>492</v>
      </c>
      <c r="B142">
        <v>1</v>
      </c>
      <c r="C142">
        <v>2.2000000000000002</v>
      </c>
      <c r="D142" t="s">
        <v>22</v>
      </c>
    </row>
    <row r="143" spans="1:4" x14ac:dyDescent="0.25">
      <c r="A143" t="s">
        <v>495</v>
      </c>
      <c r="B143">
        <v>4</v>
      </c>
      <c r="C143">
        <v>14.9</v>
      </c>
      <c r="D143" t="s">
        <v>31</v>
      </c>
    </row>
    <row r="144" spans="1:4" x14ac:dyDescent="0.25">
      <c r="A144" t="s">
        <v>498</v>
      </c>
      <c r="B144">
        <v>4</v>
      </c>
      <c r="C144">
        <v>14.5</v>
      </c>
      <c r="D144" t="s">
        <v>31</v>
      </c>
    </row>
    <row r="145" spans="1:4" x14ac:dyDescent="0.25">
      <c r="A145" t="s">
        <v>502</v>
      </c>
      <c r="B145">
        <v>0</v>
      </c>
      <c r="C145">
        <v>0.6</v>
      </c>
      <c r="D145" t="s">
        <v>22</v>
      </c>
    </row>
    <row r="146" spans="1:4" x14ac:dyDescent="0.25">
      <c r="A146" t="s">
        <v>504</v>
      </c>
      <c r="B146">
        <v>3</v>
      </c>
      <c r="C146">
        <v>14.3</v>
      </c>
      <c r="D146" t="s">
        <v>22</v>
      </c>
    </row>
    <row r="147" spans="1:4" x14ac:dyDescent="0.25">
      <c r="A147" t="s">
        <v>506</v>
      </c>
      <c r="B147">
        <v>5</v>
      </c>
      <c r="C147">
        <v>6.9</v>
      </c>
      <c r="D147" t="s">
        <v>31</v>
      </c>
    </row>
    <row r="148" spans="1:4" x14ac:dyDescent="0.25">
      <c r="A148" t="s">
        <v>509</v>
      </c>
      <c r="B148">
        <v>4</v>
      </c>
      <c r="C148">
        <v>11.2</v>
      </c>
      <c r="D148" t="s">
        <v>31</v>
      </c>
    </row>
    <row r="149" spans="1:4" x14ac:dyDescent="0.25">
      <c r="A149" t="s">
        <v>512</v>
      </c>
      <c r="B149">
        <v>2</v>
      </c>
      <c r="C149">
        <v>14.9</v>
      </c>
      <c r="D149" t="s">
        <v>31</v>
      </c>
    </row>
    <row r="150" spans="1:4" x14ac:dyDescent="0.25">
      <c r="A150" t="s">
        <v>515</v>
      </c>
      <c r="B150">
        <v>5</v>
      </c>
      <c r="C150">
        <v>12.2</v>
      </c>
      <c r="D150" t="s">
        <v>31</v>
      </c>
    </row>
    <row r="151" spans="1:4" x14ac:dyDescent="0.25">
      <c r="A151" t="s">
        <v>519</v>
      </c>
      <c r="B151">
        <v>4</v>
      </c>
      <c r="C151">
        <v>-2.2000000000000002</v>
      </c>
      <c r="D151" t="s">
        <v>31</v>
      </c>
    </row>
    <row r="152" spans="1:4" x14ac:dyDescent="0.25">
      <c r="A152" t="s">
        <v>523</v>
      </c>
      <c r="B152">
        <v>4</v>
      </c>
      <c r="C152">
        <v>10.7</v>
      </c>
      <c r="D152" t="s">
        <v>22</v>
      </c>
    </row>
    <row r="153" spans="1:4" x14ac:dyDescent="0.25">
      <c r="A153" t="s">
        <v>526</v>
      </c>
      <c r="B153">
        <v>1</v>
      </c>
      <c r="C153">
        <v>5.8</v>
      </c>
      <c r="D153" t="s">
        <v>22</v>
      </c>
    </row>
    <row r="154" spans="1:4" x14ac:dyDescent="0.25">
      <c r="A154" t="s">
        <v>528</v>
      </c>
      <c r="B154">
        <v>1</v>
      </c>
      <c r="C154">
        <v>10.6</v>
      </c>
      <c r="D154" t="s">
        <v>22</v>
      </c>
    </row>
    <row r="155" spans="1:4" x14ac:dyDescent="0.25">
      <c r="A155" t="s">
        <v>531</v>
      </c>
      <c r="B155">
        <v>1</v>
      </c>
      <c r="C155">
        <v>13.2</v>
      </c>
      <c r="D155" t="s">
        <v>31</v>
      </c>
    </row>
    <row r="156" spans="1:4" x14ac:dyDescent="0.25">
      <c r="A156" t="s">
        <v>534</v>
      </c>
      <c r="B156">
        <v>1</v>
      </c>
      <c r="C156">
        <v>3.6</v>
      </c>
      <c r="D156" t="s">
        <v>22</v>
      </c>
    </row>
    <row r="157" spans="1:4" x14ac:dyDescent="0.25">
      <c r="A157" t="s">
        <v>535</v>
      </c>
      <c r="B157">
        <v>5</v>
      </c>
      <c r="C157">
        <v>4.7</v>
      </c>
      <c r="D157" t="s">
        <v>31</v>
      </c>
    </row>
    <row r="158" spans="1:4" x14ac:dyDescent="0.25">
      <c r="A158" t="s">
        <v>538</v>
      </c>
      <c r="B158">
        <v>1</v>
      </c>
      <c r="C158">
        <v>12.7</v>
      </c>
      <c r="D158" t="s">
        <v>31</v>
      </c>
    </row>
    <row r="159" spans="1:4" x14ac:dyDescent="0.25">
      <c r="A159" t="s">
        <v>541</v>
      </c>
      <c r="B159">
        <v>2</v>
      </c>
      <c r="C159">
        <v>4.8</v>
      </c>
      <c r="D159" t="s">
        <v>31</v>
      </c>
    </row>
    <row r="160" spans="1:4" x14ac:dyDescent="0.25">
      <c r="A160" t="s">
        <v>545</v>
      </c>
      <c r="B160">
        <v>3</v>
      </c>
      <c r="C160">
        <v>13.7</v>
      </c>
      <c r="D160" t="s">
        <v>22</v>
      </c>
    </row>
    <row r="161" spans="1:4" x14ac:dyDescent="0.25">
      <c r="A161" t="s">
        <v>548</v>
      </c>
      <c r="B161">
        <v>1</v>
      </c>
      <c r="C161">
        <v>9.1</v>
      </c>
      <c r="D161" t="s">
        <v>22</v>
      </c>
    </row>
    <row r="162" spans="1:4" x14ac:dyDescent="0.25">
      <c r="A162" t="s">
        <v>550</v>
      </c>
      <c r="B162">
        <v>4</v>
      </c>
      <c r="C162">
        <v>18.399999999999999</v>
      </c>
      <c r="D162" t="s">
        <v>31</v>
      </c>
    </row>
    <row r="163" spans="1:4" x14ac:dyDescent="0.25">
      <c r="A163" t="s">
        <v>553</v>
      </c>
      <c r="B163">
        <v>10</v>
      </c>
      <c r="C163">
        <v>0.2</v>
      </c>
      <c r="D163" t="s">
        <v>31</v>
      </c>
    </row>
    <row r="164" spans="1:4" x14ac:dyDescent="0.25">
      <c r="A164" t="s">
        <v>557</v>
      </c>
      <c r="B164">
        <v>2</v>
      </c>
      <c r="C164">
        <v>7.9</v>
      </c>
      <c r="D164" t="s">
        <v>31</v>
      </c>
    </row>
    <row r="165" spans="1:4" x14ac:dyDescent="0.25">
      <c r="A165" t="s">
        <v>561</v>
      </c>
      <c r="B165">
        <v>4</v>
      </c>
      <c r="C165">
        <v>10.4</v>
      </c>
      <c r="D165" t="s">
        <v>22</v>
      </c>
    </row>
    <row r="166" spans="1:4" x14ac:dyDescent="0.25">
      <c r="A166" t="s">
        <v>562</v>
      </c>
      <c r="B166">
        <v>1</v>
      </c>
      <c r="C166">
        <v>0.4</v>
      </c>
      <c r="D166" t="s">
        <v>22</v>
      </c>
    </row>
    <row r="167" spans="1:4" x14ac:dyDescent="0.25">
      <c r="A167" t="s">
        <v>565</v>
      </c>
      <c r="B167">
        <v>5</v>
      </c>
      <c r="C167">
        <v>17.600000000000001</v>
      </c>
      <c r="D167" t="s">
        <v>22</v>
      </c>
    </row>
    <row r="168" spans="1:4" x14ac:dyDescent="0.25">
      <c r="A168" t="s">
        <v>567</v>
      </c>
      <c r="B168">
        <v>1</v>
      </c>
      <c r="C168">
        <v>3.3</v>
      </c>
      <c r="D168" t="s">
        <v>31</v>
      </c>
    </row>
    <row r="169" spans="1:4" x14ac:dyDescent="0.25">
      <c r="A169" t="s">
        <v>569</v>
      </c>
      <c r="B169">
        <v>5</v>
      </c>
      <c r="C169">
        <v>10.6</v>
      </c>
      <c r="D169" t="s">
        <v>31</v>
      </c>
    </row>
    <row r="170" spans="1:4" x14ac:dyDescent="0.25">
      <c r="A170" t="s">
        <v>572</v>
      </c>
      <c r="B170">
        <v>4</v>
      </c>
      <c r="C170">
        <v>9.3000000000000007</v>
      </c>
      <c r="D170" t="s">
        <v>22</v>
      </c>
    </row>
    <row r="171" spans="1:4" x14ac:dyDescent="0.25">
      <c r="A171" t="s">
        <v>574</v>
      </c>
      <c r="B171">
        <v>3</v>
      </c>
      <c r="C171">
        <v>14.3</v>
      </c>
      <c r="D171" t="s">
        <v>22</v>
      </c>
    </row>
    <row r="172" spans="1:4" x14ac:dyDescent="0.25">
      <c r="A172" t="s">
        <v>577</v>
      </c>
      <c r="B172">
        <v>3</v>
      </c>
      <c r="C172">
        <v>17.600000000000001</v>
      </c>
      <c r="D172" t="s">
        <v>22</v>
      </c>
    </row>
    <row r="173" spans="1:4" x14ac:dyDescent="0.25">
      <c r="A173" t="s">
        <v>580</v>
      </c>
      <c r="B173">
        <v>2</v>
      </c>
      <c r="C173">
        <v>4.2</v>
      </c>
      <c r="D173" t="s">
        <v>22</v>
      </c>
    </row>
    <row r="174" spans="1:4" x14ac:dyDescent="0.25">
      <c r="A174" t="s">
        <v>583</v>
      </c>
      <c r="B174">
        <v>2</v>
      </c>
      <c r="C174">
        <v>17.899999999999999</v>
      </c>
      <c r="D174" t="s">
        <v>31</v>
      </c>
    </row>
    <row r="175" spans="1:4" x14ac:dyDescent="0.25">
      <c r="A175" t="s">
        <v>586</v>
      </c>
      <c r="B175">
        <v>5</v>
      </c>
      <c r="C175">
        <v>4.7</v>
      </c>
      <c r="D175" t="s">
        <v>31</v>
      </c>
    </row>
    <row r="176" spans="1:4" x14ac:dyDescent="0.25">
      <c r="A176" t="s">
        <v>589</v>
      </c>
      <c r="B176">
        <v>3</v>
      </c>
      <c r="C176">
        <v>9.1</v>
      </c>
      <c r="D176" t="s">
        <v>31</v>
      </c>
    </row>
    <row r="177" spans="1:4" x14ac:dyDescent="0.25">
      <c r="A177" t="s">
        <v>593</v>
      </c>
      <c r="B177">
        <v>2</v>
      </c>
      <c r="C177">
        <v>5.3</v>
      </c>
      <c r="D177" t="s">
        <v>31</v>
      </c>
    </row>
    <row r="178" spans="1:4" x14ac:dyDescent="0.25">
      <c r="A178" t="s">
        <v>596</v>
      </c>
      <c r="B178">
        <v>5</v>
      </c>
      <c r="C178">
        <v>3</v>
      </c>
      <c r="D178" t="s">
        <v>22</v>
      </c>
    </row>
    <row r="179" spans="1:4" x14ac:dyDescent="0.25">
      <c r="A179" t="s">
        <v>599</v>
      </c>
      <c r="B179">
        <v>3</v>
      </c>
      <c r="C179">
        <v>6.3</v>
      </c>
      <c r="D179" t="s">
        <v>22</v>
      </c>
    </row>
    <row r="180" spans="1:4" x14ac:dyDescent="0.25">
      <c r="A180" t="s">
        <v>601</v>
      </c>
      <c r="B180">
        <v>2</v>
      </c>
      <c r="C180">
        <v>14.9</v>
      </c>
      <c r="D180" t="s">
        <v>31</v>
      </c>
    </row>
    <row r="181" spans="1:4" x14ac:dyDescent="0.25">
      <c r="A181" t="s">
        <v>604</v>
      </c>
      <c r="B181">
        <v>10</v>
      </c>
      <c r="C181">
        <v>-4.2</v>
      </c>
      <c r="D181" t="s">
        <v>22</v>
      </c>
    </row>
    <row r="182" spans="1:4" x14ac:dyDescent="0.25">
      <c r="A182" t="s">
        <v>607</v>
      </c>
      <c r="B182">
        <v>4</v>
      </c>
      <c r="C182">
        <v>11</v>
      </c>
      <c r="D182" t="s">
        <v>31</v>
      </c>
    </row>
    <row r="183" spans="1:4" x14ac:dyDescent="0.25">
      <c r="A183" t="s">
        <v>611</v>
      </c>
      <c r="B183">
        <v>2</v>
      </c>
      <c r="C183">
        <v>2.2000000000000002</v>
      </c>
      <c r="D183" t="s">
        <v>31</v>
      </c>
    </row>
    <row r="184" spans="1:4" x14ac:dyDescent="0.25">
      <c r="A184" t="s">
        <v>614</v>
      </c>
      <c r="B184">
        <v>4</v>
      </c>
      <c r="C184">
        <v>9.6</v>
      </c>
      <c r="D184" t="s">
        <v>31</v>
      </c>
    </row>
    <row r="185" spans="1:4" x14ac:dyDescent="0.25">
      <c r="A185" t="s">
        <v>618</v>
      </c>
      <c r="B185">
        <v>1</v>
      </c>
      <c r="C185">
        <v>7.8</v>
      </c>
      <c r="D185" t="s">
        <v>31</v>
      </c>
    </row>
    <row r="186" spans="1:4" x14ac:dyDescent="0.25">
      <c r="A186" t="s">
        <v>622</v>
      </c>
      <c r="B186">
        <v>3</v>
      </c>
      <c r="C186">
        <v>15.9</v>
      </c>
      <c r="D186" t="s">
        <v>31</v>
      </c>
    </row>
    <row r="187" spans="1:4" x14ac:dyDescent="0.25">
      <c r="A187" t="s">
        <v>626</v>
      </c>
      <c r="B187">
        <v>4</v>
      </c>
      <c r="C187">
        <v>3.6</v>
      </c>
      <c r="D187" t="s">
        <v>22</v>
      </c>
    </row>
    <row r="188" spans="1:4" x14ac:dyDescent="0.25">
      <c r="A188" t="s">
        <v>628</v>
      </c>
      <c r="B188">
        <v>3</v>
      </c>
      <c r="C188">
        <v>19.8</v>
      </c>
      <c r="D188" t="s">
        <v>22</v>
      </c>
    </row>
    <row r="189" spans="1:4" x14ac:dyDescent="0.25">
      <c r="A189" t="s">
        <v>631</v>
      </c>
      <c r="B189">
        <v>4</v>
      </c>
      <c r="C189">
        <v>13.4</v>
      </c>
      <c r="D189" t="s">
        <v>22</v>
      </c>
    </row>
    <row r="190" spans="1:4" x14ac:dyDescent="0.25">
      <c r="A190" t="s">
        <v>633</v>
      </c>
      <c r="B190">
        <v>3</v>
      </c>
      <c r="C190">
        <v>12</v>
      </c>
      <c r="D190" t="s">
        <v>22</v>
      </c>
    </row>
    <row r="191" spans="1:4" x14ac:dyDescent="0.25">
      <c r="A191" t="s">
        <v>637</v>
      </c>
      <c r="B191">
        <v>5</v>
      </c>
      <c r="C191">
        <v>9.1</v>
      </c>
      <c r="D191" t="s">
        <v>22</v>
      </c>
    </row>
    <row r="192" spans="1:4" x14ac:dyDescent="0.25">
      <c r="A192" t="s">
        <v>639</v>
      </c>
      <c r="B192">
        <v>5</v>
      </c>
      <c r="C192">
        <v>11.4</v>
      </c>
      <c r="D192" t="s">
        <v>22</v>
      </c>
    </row>
    <row r="193" spans="1:4" x14ac:dyDescent="0.25">
      <c r="A193" t="s">
        <v>641</v>
      </c>
      <c r="B193">
        <v>2</v>
      </c>
      <c r="C193">
        <v>10.1</v>
      </c>
      <c r="D193" t="s">
        <v>22</v>
      </c>
    </row>
    <row r="194" spans="1:4" x14ac:dyDescent="0.25">
      <c r="A194" t="s">
        <v>642</v>
      </c>
      <c r="B194">
        <v>4</v>
      </c>
      <c r="C194">
        <v>1.5</v>
      </c>
      <c r="D194" t="s">
        <v>22</v>
      </c>
    </row>
    <row r="195" spans="1:4" x14ac:dyDescent="0.25">
      <c r="A195" t="s">
        <v>644</v>
      </c>
      <c r="B195">
        <v>2</v>
      </c>
      <c r="C195">
        <v>1.7</v>
      </c>
      <c r="D195" t="s">
        <v>22</v>
      </c>
    </row>
    <row r="196" spans="1:4" x14ac:dyDescent="0.25">
      <c r="A196" t="s">
        <v>646</v>
      </c>
      <c r="B196">
        <v>5</v>
      </c>
      <c r="C196">
        <v>6.7</v>
      </c>
      <c r="D196" t="s">
        <v>22</v>
      </c>
    </row>
    <row r="197" spans="1:4" x14ac:dyDescent="0.25">
      <c r="A197" t="s">
        <v>648</v>
      </c>
      <c r="B197">
        <v>2</v>
      </c>
      <c r="C197">
        <v>13.9</v>
      </c>
      <c r="D197" t="s">
        <v>22</v>
      </c>
    </row>
    <row r="198" spans="1:4" x14ac:dyDescent="0.25">
      <c r="A198" t="s">
        <v>651</v>
      </c>
      <c r="B198">
        <v>3</v>
      </c>
      <c r="C198">
        <v>7.1</v>
      </c>
      <c r="D198" t="s">
        <v>31</v>
      </c>
    </row>
    <row r="199" spans="1:4" x14ac:dyDescent="0.25">
      <c r="A199" t="s">
        <v>655</v>
      </c>
      <c r="B199">
        <v>0</v>
      </c>
      <c r="C199">
        <v>2.9</v>
      </c>
      <c r="D199" t="s">
        <v>31</v>
      </c>
    </row>
    <row r="200" spans="1:4" x14ac:dyDescent="0.25">
      <c r="A200" t="s">
        <v>658</v>
      </c>
      <c r="B200">
        <v>5</v>
      </c>
      <c r="C200">
        <v>1</v>
      </c>
      <c r="D200" t="s">
        <v>31</v>
      </c>
    </row>
    <row r="201" spans="1:4" x14ac:dyDescent="0.25">
      <c r="A201" t="s">
        <v>661</v>
      </c>
      <c r="B201">
        <v>5</v>
      </c>
      <c r="C201">
        <v>6.1</v>
      </c>
      <c r="D201" t="s">
        <v>31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5" x14ac:dyDescent="0.25"/>
  <cols>
    <col min="1" max="1" width="32" customWidth="1"/>
    <col min="2" max="2" width="48" customWidth="1"/>
  </cols>
  <sheetData>
    <row r="1" spans="1:2" ht="18" x14ac:dyDescent="0.25">
      <c r="A1" s="7" t="s">
        <v>666</v>
      </c>
    </row>
    <row r="3" spans="1:2" x14ac:dyDescent="0.25">
      <c r="A3" s="1" t="s">
        <v>667</v>
      </c>
      <c r="B3" s="1" t="s">
        <v>668</v>
      </c>
    </row>
    <row r="4" spans="1:2" x14ac:dyDescent="0.25">
      <c r="A4" s="8" t="s">
        <v>669</v>
      </c>
      <c r="B4" s="8">
        <f>COUNTA(Raw_HR_Data!A2:A201)</f>
        <v>200</v>
      </c>
    </row>
    <row r="5" spans="1:2" x14ac:dyDescent="0.25">
      <c r="A5" s="9" t="s">
        <v>670</v>
      </c>
      <c r="B5" s="9">
        <f>COUNTIF(Raw_HR_Data!I2:I201,"Active")</f>
        <v>119</v>
      </c>
    </row>
    <row r="6" spans="1:2" x14ac:dyDescent="0.25">
      <c r="A6" s="8" t="s">
        <v>671</v>
      </c>
      <c r="B6" s="8">
        <f>COUNTIF(Raw_HR_Data!N2:N201,"Yes")</f>
        <v>76</v>
      </c>
    </row>
    <row r="7" spans="1:2" x14ac:dyDescent="0.25">
      <c r="A7" s="9" t="s">
        <v>672</v>
      </c>
      <c r="B7" s="9">
        <f>COUNTIF(Raw_HR_Data!N2:N201,"Yes")/COUNTA(Raw_HR_Data!N2:N201)</f>
        <v>0.39790575916230364</v>
      </c>
    </row>
    <row r="8" spans="1:2" x14ac:dyDescent="0.25">
      <c r="A8" s="8" t="s">
        <v>673</v>
      </c>
      <c r="B8" s="8">
        <f>AVERAGEIF(Raw_HR_Data!J2:J201,"&gt;0",Raw_HR_Data!J2:J201)</f>
        <v>720004.66828876978</v>
      </c>
    </row>
    <row r="9" spans="1:2" x14ac:dyDescent="0.25">
      <c r="A9" s="9" t="s">
        <v>674</v>
      </c>
      <c r="B9" s="9">
        <f>AVERAGEIF(Raw_HR_Data!K2:K201,"&lt;=5",Raw_HR_Data!K2:K201)</f>
        <v>2.8121827411167515</v>
      </c>
    </row>
    <row r="10" spans="1:2" x14ac:dyDescent="0.25">
      <c r="A10" s="8" t="s">
        <v>675</v>
      </c>
      <c r="B10" s="8">
        <f>AVERAGEIF(Raw_HR_Data!L2:L201,"&gt;=0",Raw_HR_Data!L2:L201)</f>
        <v>9.3515463917525778</v>
      </c>
    </row>
    <row r="11" spans="1:2" x14ac:dyDescent="0.25">
      <c r="A11" s="9" t="s">
        <v>676</v>
      </c>
      <c r="B11" s="9" t="s">
        <v>677</v>
      </c>
    </row>
    <row r="12" spans="1:2" x14ac:dyDescent="0.25">
      <c r="A12" s="8" t="s">
        <v>678</v>
      </c>
      <c r="B12" s="8" t="s">
        <v>677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DC0710F-8100-4F91-9700-E81109130F88}">
  <ds:schemaRefs/>
</ds:datastoreItem>
</file>

<file path=customXml/itemProps2.xml><?xml version="1.0" encoding="utf-8"?>
<ds:datastoreItem xmlns:ds="http://schemas.openxmlformats.org/officeDocument/2006/customXml" ds:itemID="{189F7CB6-D480-4D6F-BD78-C86A75D21664}">
  <ds:schemaRefs/>
</ds:datastoreItem>
</file>

<file path=customXml/itemProps3.xml><?xml version="1.0" encoding="utf-8"?>
<ds:datastoreItem xmlns:ds="http://schemas.openxmlformats.org/officeDocument/2006/customXml" ds:itemID="{1FFBD12E-100F-466D-9135-F1C48A17E781}">
  <ds:schemaRefs/>
</ds:datastoreItem>
</file>

<file path=customXml/itemProps4.xml><?xml version="1.0" encoding="utf-8"?>
<ds:datastoreItem xmlns:ds="http://schemas.openxmlformats.org/officeDocument/2006/customXml" ds:itemID="{1730B9B7-8AA5-4023-AE50-C1D5D59E5FA3}">
  <ds:schemaRefs/>
</ds:datastoreItem>
</file>

<file path=customXml/itemProps5.xml><?xml version="1.0" encoding="utf-8"?>
<ds:datastoreItem xmlns:ds="http://schemas.openxmlformats.org/officeDocument/2006/customXml" ds:itemID="{EBE5081A-DC16-45DF-B110-5FE073365D22}">
  <ds:schemaRefs/>
</ds:datastoreItem>
</file>

<file path=customXml/itemProps6.xml><?xml version="1.0" encoding="utf-8"?>
<ds:datastoreItem xmlns:ds="http://schemas.openxmlformats.org/officeDocument/2006/customXml" ds:itemID="{7E7F3A52-CD4E-4621-AF40-0CCA4A5D42DB}">
  <ds:schemaRefs/>
</ds:datastoreItem>
</file>

<file path=customXml/itemProps7.xml><?xml version="1.0" encoding="utf-8"?>
<ds:datastoreItem xmlns:ds="http://schemas.openxmlformats.org/officeDocument/2006/customXml" ds:itemID="{70E74AAB-C221-4F0D-B454-B89CA191BAD0}">
  <ds:schemaRefs/>
</ds:datastoreItem>
</file>

<file path=customXml/itemProps8.xml><?xml version="1.0" encoding="utf-8"?>
<ds:datastoreItem xmlns:ds="http://schemas.openxmlformats.org/officeDocument/2006/customXml" ds:itemID="{2D874A46-53A9-4513-9F4E-DE39167DDD37}">
  <ds:schemaRefs/>
</ds:datastoreItem>
</file>

<file path=customXml/itemProps9.xml><?xml version="1.0" encoding="utf-8"?>
<ds:datastoreItem xmlns:ds="http://schemas.openxmlformats.org/officeDocument/2006/customXml" ds:itemID="{0753FF96-938D-41A6-8EBE-8B8AF261E662}">
  <ds:schemaRefs/>
</ds:datastoreItem>
</file>

<file path=customXml/itemProps10.xml><?xml version="1.0" encoding="utf-8"?>
<ds:datastoreItem xmlns:ds="http://schemas.openxmlformats.org/officeDocument/2006/customXml" ds:itemID="{8C235BA5-44EF-4748-9DB5-61400ECC6F46}">
  <ds:schemaRefs/>
</ds:datastoreItem>
</file>

<file path=customXml/itemProps11.xml><?xml version="1.0" encoding="utf-8"?>
<ds:datastoreItem xmlns:ds="http://schemas.openxmlformats.org/officeDocument/2006/customXml" ds:itemID="{58F39DB2-89E5-42EB-8D92-CF074B54E972}">
  <ds:schemaRefs/>
</ds:datastoreItem>
</file>

<file path=customXml/itemProps12.xml><?xml version="1.0" encoding="utf-8"?>
<ds:datastoreItem xmlns:ds="http://schemas.openxmlformats.org/officeDocument/2006/customXml" ds:itemID="{990D8024-CF6D-4B25-A05D-6726CBE0F1AB}">
  <ds:schemaRefs/>
</ds:datastoreItem>
</file>

<file path=customXml/itemProps13.xml><?xml version="1.0" encoding="utf-8"?>
<ds:datastoreItem xmlns:ds="http://schemas.openxmlformats.org/officeDocument/2006/customXml" ds:itemID="{02B114FD-D03E-470F-898B-80763AAD6CE3}">
  <ds:schemaRefs/>
</ds:datastoreItem>
</file>

<file path=customXml/itemProps14.xml><?xml version="1.0" encoding="utf-8"?>
<ds:datastoreItem xmlns:ds="http://schemas.openxmlformats.org/officeDocument/2006/customXml" ds:itemID="{0EDDC91B-F7BD-43BD-88B9-7C1837A34068}">
  <ds:schemaRefs/>
</ds:datastoreItem>
</file>

<file path=customXml/itemProps15.xml><?xml version="1.0" encoding="utf-8"?>
<ds:datastoreItem xmlns:ds="http://schemas.openxmlformats.org/officeDocument/2006/customXml" ds:itemID="{1C23C999-775D-4BB9-9847-8358F9CD7613}">
  <ds:schemaRefs/>
</ds:datastoreItem>
</file>

<file path=customXml/itemProps16.xml><?xml version="1.0" encoding="utf-8"?>
<ds:datastoreItem xmlns:ds="http://schemas.openxmlformats.org/officeDocument/2006/customXml" ds:itemID="{C5827A4D-2A01-4DF2-94A1-36D06A60F830}">
  <ds:schemaRefs>
    <ds:schemaRef ds:uri="http://schemas.microsoft.com/DataMashup"/>
  </ds:schemaRefs>
</ds:datastoreItem>
</file>

<file path=customXml/itemProps17.xml><?xml version="1.0" encoding="utf-8"?>
<ds:datastoreItem xmlns:ds="http://schemas.openxmlformats.org/officeDocument/2006/customXml" ds:itemID="{7A188D4E-B6C4-498B-9569-E4F584722309}">
  <ds:schemaRefs/>
</ds:datastoreItem>
</file>

<file path=customXml/itemProps18.xml><?xml version="1.0" encoding="utf-8"?>
<ds:datastoreItem xmlns:ds="http://schemas.openxmlformats.org/officeDocument/2006/customXml" ds:itemID="{85E74D14-6A99-47A6-BC89-BC94773BBAAF}">
  <ds:schemaRefs/>
</ds:datastoreItem>
</file>

<file path=customXml/itemProps19.xml><?xml version="1.0" encoding="utf-8"?>
<ds:datastoreItem xmlns:ds="http://schemas.openxmlformats.org/officeDocument/2006/customXml" ds:itemID="{02A62324-D821-4203-99B8-132D202EF8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Raw_HR_Data</vt:lpstr>
      <vt:lpstr>cleaned_data</vt:lpstr>
      <vt:lpstr>Dim_salary</vt:lpstr>
      <vt:lpstr>pivot_table</vt:lpstr>
      <vt:lpstr>workforce</vt:lpstr>
      <vt:lpstr>performance</vt:lpstr>
      <vt:lpstr>Dim_Department</vt:lpstr>
      <vt:lpstr>Dim_Performance</vt:lpstr>
      <vt:lpstr>Summary_Template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damilola ibitoye</cp:lastModifiedBy>
  <dcterms:created xsi:type="dcterms:W3CDTF">2026-05-19T04:37:15Z</dcterms:created>
  <dcterms:modified xsi:type="dcterms:W3CDTF">2026-05-28T14:14:58Z</dcterms:modified>
</cp:coreProperties>
</file>